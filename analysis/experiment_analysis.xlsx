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i\Desktop\BITS BA Course\Capstone Project\part2_kpi_experiment\analysis\"/>
    </mc:Choice>
  </mc:AlternateContent>
  <xr:revisionPtr revIDLastSave="0" documentId="13_ncr:1_{E4322DA5-6BF5-400F-B0BB-E0D0355A896C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experiment_data" sheetId="4" r:id="rId1"/>
    <sheet name="business_context" sheetId="5" r:id="rId2"/>
    <sheet name="data_quality_checks" sheetId="1" r:id="rId3"/>
    <sheet name="group_counts" sheetId="3" r:id="rId4"/>
    <sheet name="segment_distribution" sheetId="6" r:id="rId5"/>
    <sheet name="revenue_outliers" sheetId="7" r:id="rId6"/>
  </sheets>
  <definedNames>
    <definedName name="_xlnm._FilterDatabase" localSheetId="3" hidden="1">group_counts!$A$1:$B$5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4" l="1"/>
  <c r="T3" i="4" a="1"/>
  <c r="T3" i="4" s="1"/>
  <c r="T11" i="4"/>
  <c r="T10" i="4"/>
  <c r="T9" i="4"/>
  <c r="T8" i="4"/>
  <c r="T7" i="4"/>
  <c r="T12" i="4"/>
  <c r="C12" i="1"/>
  <c r="T6" i="4"/>
  <c r="T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<sst xmlns="http://schemas.openxmlformats.org/spreadsheetml/2006/main" count="8503" uniqueCount="1480">
  <si>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</si>
  <si>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</si>
  <si>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</si>
  <si>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</si>
  <si>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</si>
  <si>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</si>
  <si>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</si>
  <si>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</si>
  <si>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</si>
  <si>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</si>
  <si>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</si>
  <si>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</si>
  <si>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</si>
  <si>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</si>
  <si>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</si>
  <si>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</si>
  <si>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</si>
  <si>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</si>
  <si>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</si>
  <si>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</si>
  <si>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</si>
  <si>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</si>
  <si>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</si>
  <si>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</si>
  <si>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</si>
  <si>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</si>
  <si>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</si>
  <si>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</si>
  <si>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</si>
  <si>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</si>
  <si>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</si>
  <si>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</si>
  <si>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</si>
  <si>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</si>
  <si>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</si>
  <si>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</si>
  <si>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</si>
  <si>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</si>
  <si>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</si>
  <si>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</si>
  <si>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</si>
  <si>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</si>
  <si>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</si>
  <si>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</si>
  <si>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</si>
  <si>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</si>
  <si>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</si>
  <si>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</si>
  <si>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</si>
  <si>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</si>
  <si>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</si>
  <si>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</si>
  <si>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</si>
  <si>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</si>
  <si>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</si>
  <si>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</si>
  <si>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</si>
  <si>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</si>
  <si>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</si>
  <si>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</si>
  <si>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</si>
  <si>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</si>
  <si>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</si>
  <si>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</si>
  <si>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</si>
  <si>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</si>
  <si>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</si>
  <si>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</si>
  <si>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</si>
  <si>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</si>
  <si>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</si>
  <si>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</si>
  <si>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</si>
  <si>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</si>
  <si>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</si>
  <si>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</si>
  <si>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</si>
  <si>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</si>
  <si>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</si>
  <si>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</si>
  <si>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</si>
  <si>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</si>
  <si>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</si>
  <si>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</si>
  <si>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</si>
  <si>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</si>
  <si>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</si>
  <si>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</si>
  <si>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</si>
  <si>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</si>
  <si>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</si>
  <si>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</si>
  <si>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</si>
  <si>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</si>
  <si>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</si>
  <si>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</si>
  <si>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</si>
  <si>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</si>
  <si>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</si>
  <si>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</si>
  <si>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</si>
  <si>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</si>
  <si>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</si>
  <si>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</si>
  <si>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</si>
  <si>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</si>
  <si>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</si>
  <si>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</si>
  <si>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</si>
  <si>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</si>
  <si>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</si>
  <si>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</si>
  <si>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</si>
  <si>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</si>
  <si>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</si>
  <si>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</si>
  <si>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</si>
  <si>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</si>
  <si>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</si>
  <si>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</si>
  <si>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</si>
  <si>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</si>
  <si>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</si>
  <si>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</si>
  <si>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</si>
  <si>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</si>
  <si>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</si>
  <si>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</si>
  <si>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</si>
  <si>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</si>
  <si>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</si>
  <si>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</si>
  <si>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</si>
  <si>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</si>
  <si>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</si>
  <si>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</si>
  <si>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</si>
  <si>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</si>
  <si>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</si>
  <si>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</si>
  <si>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</si>
  <si>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</si>
  <si>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</si>
  <si>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</si>
  <si>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</si>
  <si>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</si>
  <si>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</si>
  <si>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</si>
  <si>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</si>
  <si>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</si>
  <si>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</si>
  <si>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</si>
  <si>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</si>
  <si>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</si>
  <si>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</si>
  <si>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</si>
  <si>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</si>
  <si>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</si>
  <si>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</si>
  <si>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</si>
  <si>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</si>
  <si>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</si>
  <si>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</si>
  <si>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</si>
  <si>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</si>
  <si>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</si>
  <si>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</si>
  <si>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</si>
  <si>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</si>
  <si>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</si>
  <si>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</si>
  <si>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</si>
  <si>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</si>
  <si>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</si>
  <si>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</si>
  <si>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</si>
  <si>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</si>
  <si>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</si>
  <si>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</si>
  <si>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</si>
  <si>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</si>
  <si>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</si>
  <si>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</si>
  <si>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</si>
  <si>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</si>
  <si>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</si>
  <si>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</si>
  <si>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</si>
  <si>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</si>
  <si>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</si>
  <si>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</si>
  <si>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</si>
  <si>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</si>
  <si>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</si>
  <si>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</si>
  <si>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</si>
  <si>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</si>
  <si>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</si>
  <si>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</si>
  <si>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</si>
  <si>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</si>
  <si>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</si>
  <si>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</si>
  <si>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</si>
  <si>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</si>
  <si>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</si>
  <si>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</si>
  <si>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</si>
  <si>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</si>
  <si>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</si>
  <si>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</si>
  <si>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</si>
  <si>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</si>
  <si>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</si>
  <si>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</si>
  <si>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</si>
  <si>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</si>
  <si>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</si>
  <si>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</si>
  <si>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</si>
  <si>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</si>
  <si>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</si>
  <si>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</si>
  <si>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</si>
  <si>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</si>
  <si>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</si>
  <si>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</si>
  <si>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</si>
  <si>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</si>
  <si>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</si>
  <si>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</si>
  <si>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</si>
  <si>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</si>
  <si>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</si>
  <si>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</si>
  <si>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</si>
  <si>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</si>
  <si>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</si>
  <si>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</si>
  <si>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</si>
  <si>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</si>
  <si>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</si>
  <si>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</si>
  <si>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</si>
  <si>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</si>
  <si>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</si>
  <si>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</si>
  <si>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</si>
  <si>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</si>
  <si>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</si>
  <si>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</si>
  <si>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</si>
  <si>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</si>
  <si>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</si>
  <si>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</si>
  <si>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</si>
  <si>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</si>
  <si>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</si>
  <si>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</si>
  <si>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</si>
  <si>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</si>
  <si>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</si>
  <si>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</si>
  <si>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</si>
  <si>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</si>
  <si>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</si>
  <si>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</si>
  <si>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</si>
  <si>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</si>
  <si>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</si>
  <si>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</si>
  <si>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</si>
  <si>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</si>
  <si>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</si>
  <si>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</si>
  <si>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</si>
  <si>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</si>
  <si>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</si>
  <si>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</si>
  <si>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</si>
  <si>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</si>
  <si>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</si>
  <si>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</si>
  <si>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</si>
  <si>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</si>
  <si>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</si>
  <si>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</si>
  <si>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</si>
  <si>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</si>
  <si>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</si>
  <si>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</si>
  <si>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</si>
  <si>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</si>
  <si>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</si>
  <si>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</si>
  <si>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</si>
  <si>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</si>
  <si>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</si>
  <si>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</si>
  <si>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</si>
  <si>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</si>
  <si>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</si>
  <si>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</si>
  <si>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</si>
  <si>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</si>
  <si>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</si>
  <si>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</si>
  <si>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</si>
  <si>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</si>
  <si>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</si>
  <si>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</si>
  <si>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</si>
  <si>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</si>
  <si>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</si>
  <si>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</si>
  <si>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</si>
  <si>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</si>
  <si>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</si>
  <si>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</si>
  <si>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</si>
  <si>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</si>
  <si>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</si>
  <si>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</si>
  <si>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</si>
  <si>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</si>
  <si>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</si>
  <si>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</si>
  <si>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</si>
  <si>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</si>
  <si>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</si>
  <si>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</si>
  <si>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</si>
  <si>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</si>
  <si>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</si>
  <si>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</si>
  <si>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</si>
  <si>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</si>
  <si>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</si>
  <si>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</si>
  <si>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</si>
  <si>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</si>
  <si>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</si>
  <si>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</si>
  <si>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</si>
  <si>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</si>
  <si>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</si>
  <si>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</si>
  <si>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</si>
  <si>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</si>
  <si>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</si>
  <si>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</si>
  <si>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</si>
  <si>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</si>
  <si>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</si>
  <si>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</si>
  <si>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</si>
  <si>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</si>
  <si>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</si>
  <si>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</si>
  <si>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</si>
  <si>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</si>
  <si>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</si>
  <si>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</si>
  <si>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</si>
  <si>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</si>
  <si>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</si>
  <si>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</si>
  <si>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</si>
  <si>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</si>
  <si>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</si>
  <si>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</si>
  <si>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</si>
  <si>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</si>
  <si>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</si>
  <si>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</si>
  <si>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</si>
  <si>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</si>
  <si>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</si>
  <si>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</si>
  <si>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</si>
  <si>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</si>
  <si>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</si>
  <si>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</si>
  <si>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</si>
  <si>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</si>
  <si>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</si>
  <si>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</si>
  <si>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</si>
  <si>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</si>
  <si>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</si>
  <si>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</si>
  <si>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</si>
  <si>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</si>
  <si>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</si>
  <si>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</si>
  <si>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</si>
  <si>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</si>
  <si>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</si>
  <si>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</si>
  <si>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</si>
  <si>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</si>
  <si>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</si>
  <si>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</si>
  <si>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</si>
  <si>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</si>
  <si>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</si>
  <si>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</si>
  <si>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</si>
  <si>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</si>
  <si>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</si>
  <si>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</si>
  <si>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</si>
  <si>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</si>
  <si>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</si>
  <si>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</si>
  <si>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</si>
  <si>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</si>
  <si>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</si>
  <si>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</si>
  <si>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</si>
  <si>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</si>
  <si>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</si>
  <si>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</si>
  <si>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</si>
  <si>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</si>
  <si>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</si>
  <si>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</si>
  <si>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</si>
  <si>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</si>
  <si>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</si>
  <si>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</si>
  <si>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</si>
  <si>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</si>
  <si>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</si>
  <si>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</si>
  <si>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</si>
  <si>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</si>
  <si>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</si>
  <si>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</si>
  <si>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</si>
  <si>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</si>
  <si>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</si>
  <si>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</si>
  <si>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</si>
  <si>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</si>
  <si>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</si>
  <si>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</si>
  <si>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</si>
  <si>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</si>
  <si>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</si>
  <si>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</si>
  <si>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</si>
  <si>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</si>
  <si>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</si>
  <si>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</si>
  <si>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</si>
  <si>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</si>
  <si>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</si>
  <si>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</si>
  <si>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</si>
  <si>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</si>
  <si>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</si>
  <si>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</si>
  <si>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</si>
  <si>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</si>
  <si>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</si>
  <si>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</si>
  <si>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</si>
  <si>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</si>
  <si>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</si>
  <si>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</si>
  <si>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</si>
  <si>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</si>
  <si>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</si>
  <si>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</si>
  <si>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</si>
  <si>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</si>
  <si>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</si>
  <si>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</si>
  <si>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</si>
  <si>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</si>
  <si>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</si>
  <si>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</si>
  <si>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</si>
  <si>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</si>
  <si>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</si>
  <si>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</si>
  <si>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</si>
  <si>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</si>
  <si>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</si>
  <si>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</si>
  <si>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</si>
  <si>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</si>
  <si>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</si>
  <si>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</si>
  <si>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</si>
  <si>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</si>
  <si>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</si>
  <si>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</si>
  <si>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</si>
  <si>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</si>
  <si>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</si>
  <si>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</si>
  <si>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</si>
  <si>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</si>
  <si>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</si>
  <si>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</si>
  <si>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</si>
  <si>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</si>
  <si>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</si>
  <si>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</si>
  <si>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</si>
  <si>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</si>
  <si>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</si>
  <si>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</si>
  <si>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</si>
  <si>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</si>
  <si>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</si>
  <si>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</si>
  <si>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</si>
  <si>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</si>
  <si>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</si>
  <si>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</si>
  <si>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</si>
  <si>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</si>
  <si>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</si>
  <si>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</si>
  <si>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</si>
  <si>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</si>
  <si>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</si>
  <si>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</si>
  <si>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</si>
  <si>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</si>
  <si>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</si>
  <si>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</si>
  <si>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</si>
  <si>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</si>
  <si>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</si>
  <si>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</si>
  <si>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</si>
  <si>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</si>
  <si>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</si>
  <si>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</si>
  <si>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</si>
  <si>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</si>
  <si>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</si>
  <si>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</si>
  <si>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</si>
  <si>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</si>
  <si>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</si>
  <si>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</si>
  <si>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</si>
  <si>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</si>
  <si>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</si>
  <si>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</si>
  <si>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</si>
  <si>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</si>
  <si>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</si>
  <si>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</si>
  <si>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</si>
  <si>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</si>
  <si>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</si>
  <si>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</si>
  <si>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</si>
  <si>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</si>
  <si>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</si>
  <si>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</si>
  <si>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</si>
  <si>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</si>
  <si>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</si>
  <si>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</si>
  <si>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</si>
  <si>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</si>
  <si>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</si>
  <si>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</si>
  <si>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</si>
  <si>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</si>
  <si>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</si>
  <si>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</si>
  <si>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</si>
  <si>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</si>
  <si>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</si>
  <si>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</si>
  <si>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</si>
  <si>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</si>
  <si>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</si>
  <si>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</si>
  <si>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</si>
  <si>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</si>
  <si>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</si>
  <si>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</si>
  <si>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</si>
  <si>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</si>
  <si>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</si>
  <si>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</si>
  <si>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</si>
  <si>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</si>
  <si>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</si>
  <si>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</si>
  <si>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</si>
  <si>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</si>
  <si>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</si>
  <si>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</si>
  <si>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</si>
  <si>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</si>
  <si>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</si>
  <si>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</si>
  <si>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</si>
  <si>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</si>
  <si>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</si>
  <si>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</si>
  <si>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</si>
  <si>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</si>
  <si>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</si>
  <si>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</si>
  <si>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</si>
  <si>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</si>
  <si>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</si>
  <si>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</si>
  <si>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</si>
  <si>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</si>
  <si>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</si>
  <si>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</si>
  <si>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</si>
  <si>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</si>
  <si>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</si>
  <si>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</si>
  <si>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</si>
  <si>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</si>
  <si>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</si>
  <si>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</si>
  <si>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</si>
  <si>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</si>
  <si>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</si>
  <si>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</si>
  <si>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</si>
  <si>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</si>
  <si>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</si>
  <si>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</si>
  <si>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</si>
  <si>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</si>
  <si>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</si>
  <si>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</si>
  <si>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</si>
  <si>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</si>
  <si>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</si>
  <si>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</si>
  <si>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</si>
  <si>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</si>
  <si>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</si>
  <si>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</si>
  <si>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</si>
  <si>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</si>
  <si>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</si>
  <si>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</si>
  <si>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</si>
  <si>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</si>
  <si>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</si>
  <si>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</si>
  <si>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</si>
  <si>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</si>
  <si>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</si>
  <si>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</si>
  <si>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</si>
  <si>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</si>
  <si>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</si>
  <si>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</si>
  <si>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</si>
  <si>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</si>
  <si>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</si>
  <si>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</si>
  <si>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</si>
  <si>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</si>
  <si>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</si>
  <si>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</si>
  <si>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</si>
  <si>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</si>
  <si>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</si>
  <si>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</si>
  <si>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</si>
  <si>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</si>
  <si>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</si>
  <si>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</si>
  <si>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</si>
  <si>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</si>
  <si>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</si>
  <si>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</si>
  <si>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</si>
  <si>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</si>
  <si>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</si>
  <si>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</si>
  <si>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</si>
  <si>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</si>
  <si>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</si>
  <si>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</si>
  <si>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</si>
  <si>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</si>
  <si>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</si>
  <si>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</si>
  <si>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</si>
  <si>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</si>
  <si>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</si>
  <si>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</si>
  <si>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</si>
  <si>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</si>
  <si>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</si>
  <si>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</si>
  <si>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</si>
  <si>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</si>
  <si>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</si>
  <si>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</si>
  <si>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</si>
  <si>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</si>
  <si>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</si>
  <si>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</si>
  <si>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</si>
  <si>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</si>
  <si>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</si>
  <si>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</si>
  <si>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</si>
  <si>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</si>
  <si>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</si>
  <si>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</si>
  <si>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</si>
  <si>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</si>
  <si>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</si>
  <si>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</si>
  <si>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</si>
  <si>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</si>
  <si>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</si>
  <si>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</si>
  <si>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</si>
  <si>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</si>
  <si>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</si>
  <si>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</si>
  <si>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</si>
  <si>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</si>
  <si>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</si>
  <si>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</si>
  <si>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</si>
  <si>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</si>
  <si>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</si>
  <si>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</si>
  <si>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</si>
  <si>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</si>
  <si>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</si>
  <si>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</si>
  <si>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</si>
  <si>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</si>
  <si>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</si>
  <si>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</si>
  <si>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</si>
  <si>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</si>
  <si>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</si>
  <si>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</si>
  <si>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</si>
  <si>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</si>
  <si>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</si>
  <si>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</si>
  <si>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</si>
  <si>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</si>
  <si>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</si>
  <si>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</si>
  <si>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</si>
  <si>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</si>
  <si>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</si>
  <si>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</si>
  <si>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</si>
  <si>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</si>
  <si>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</si>
  <si>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</si>
  <si>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</si>
  <si>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</si>
  <si>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</si>
  <si>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</si>
  <si>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</si>
  <si>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</si>
  <si>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</si>
  <si>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</si>
  <si>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</si>
  <si>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</si>
  <si>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</si>
  <si>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</si>
  <si>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</si>
  <si>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</si>
  <si>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</si>
  <si>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</si>
  <si>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</si>
  <si>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</si>
  <si>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</si>
  <si>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</si>
  <si>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</si>
  <si>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</si>
  <si>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</si>
  <si>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</si>
  <si>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</si>
  <si>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</si>
  <si>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</si>
  <si>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</si>
  <si>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</si>
  <si>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</si>
  <si>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</si>
  <si>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</si>
  <si>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</si>
  <si>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</si>
  <si>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</si>
  <si>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</si>
  <si>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</si>
  <si>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</si>
  <si>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</si>
  <si>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</si>
  <si>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</si>
  <si>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</si>
  <si>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</si>
  <si>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</si>
  <si>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</si>
  <si>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</si>
  <si>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</si>
  <si>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</si>
  <si>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</si>
  <si>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</si>
  <si>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</si>
  <si>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</si>
  <si>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</si>
  <si>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</si>
  <si>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</si>
  <si>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</si>
  <si>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</si>
  <si>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</si>
  <si>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</si>
  <si>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</si>
  <si>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</si>
  <si>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</si>
  <si>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</si>
  <si>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</si>
  <si>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</si>
  <si>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</si>
  <si>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</si>
  <si>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</si>
  <si>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</si>
  <si>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</si>
  <si>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</si>
  <si>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</si>
  <si>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</si>
  <si>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</si>
  <si>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</si>
  <si>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</si>
  <si>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</si>
  <si>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</si>
  <si>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</si>
  <si>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</si>
  <si>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</si>
  <si>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</si>
  <si>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</si>
  <si>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</si>
  <si>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</si>
  <si>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</si>
  <si>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</si>
  <si>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</si>
  <si>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</si>
  <si>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</si>
  <si>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</si>
  <si>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</si>
  <si>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</si>
  <si>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</si>
  <si>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</si>
  <si>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</si>
  <si>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</si>
  <si>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</si>
  <si>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</si>
  <si>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</si>
  <si>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</si>
  <si>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</si>
  <si>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</si>
  <si>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</si>
  <si>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</si>
  <si>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</si>
  <si>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</si>
  <si>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</si>
  <si>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</si>
  <si>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</si>
  <si>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</si>
  <si>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</si>
  <si>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</si>
  <si>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</si>
  <si>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</si>
  <si>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</si>
  <si>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</si>
  <si>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</si>
  <si>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</si>
  <si>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</si>
  <si>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</si>
  <si>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</si>
  <si>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</si>
  <si>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</si>
  <si>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</si>
  <si>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</si>
  <si>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</si>
  <si>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</si>
  <si>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</si>
  <si>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</si>
  <si>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</si>
  <si>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</si>
  <si>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</si>
  <si>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</si>
  <si>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</si>
  <si>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</si>
  <si>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</si>
  <si>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</si>
  <si>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</si>
  <si>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</si>
  <si>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</si>
  <si>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</si>
  <si>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</si>
  <si>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</si>
  <si>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</si>
  <si>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</si>
  <si>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</si>
  <si>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</si>
  <si>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</si>
  <si>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</si>
  <si>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</si>
  <si>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</si>
  <si>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</si>
  <si>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</si>
  <si>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</si>
  <si>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</si>
  <si>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</si>
  <si>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</si>
  <si>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</si>
  <si>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</si>
  <si>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</si>
  <si>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</si>
  <si>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</si>
  <si>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</si>
  <si>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</si>
  <si>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</si>
  <si>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</si>
  <si>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</si>
  <si>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</si>
  <si>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</si>
  <si>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</si>
  <si>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</si>
  <si>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</si>
  <si>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</si>
  <si>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</si>
  <si>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</si>
  <si>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</si>
  <si>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</si>
  <si>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</si>
  <si>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</si>
  <si>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</si>
  <si>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</si>
  <si>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</si>
  <si>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</si>
  <si>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</si>
  <si>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</si>
  <si>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</si>
  <si>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</si>
  <si>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</si>
  <si>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</si>
  <si>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</si>
  <si>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</si>
  <si>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</si>
  <si>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</si>
  <si>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</si>
  <si>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</si>
  <si>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</si>
  <si>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</si>
  <si>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</si>
  <si>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</si>
  <si>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</si>
  <si>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</si>
  <si>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</si>
  <si>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</si>
  <si>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</si>
  <si>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</si>
  <si>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</si>
  <si>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</si>
  <si>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</si>
  <si>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</si>
  <si>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</si>
  <si>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</si>
  <si>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</si>
  <si>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</si>
  <si>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</si>
  <si>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</si>
  <si>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</si>
  <si>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</si>
  <si>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</si>
  <si>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</si>
  <si>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</si>
  <si>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</si>
  <si>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</si>
  <si>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</si>
  <si>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</si>
  <si>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</si>
  <si>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</si>
  <si>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</si>
  <si>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</si>
  <si>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</si>
  <si>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</si>
  <si>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</si>
  <si>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</si>
  <si>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</si>
  <si>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</si>
  <si>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</si>
  <si>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</si>
  <si>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</si>
  <si>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</si>
  <si>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</si>
  <si>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</si>
  <si>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</si>
  <si>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</si>
  <si>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</si>
  <si>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</si>
  <si>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</si>
  <si>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</si>
  <si>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</si>
  <si>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</si>
  <si>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</si>
  <si>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</si>
  <si>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</si>
  <si>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</si>
  <si>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</si>
  <si>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</si>
  <si>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</si>
  <si>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</si>
  <si>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</si>
  <si>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</si>
  <si>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</si>
  <si>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</si>
  <si>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</si>
  <si>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</si>
  <si>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</si>
  <si>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</si>
  <si>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</si>
  <si>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</si>
  <si>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</si>
  <si>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</si>
  <si>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</si>
  <si>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</si>
  <si>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</si>
  <si>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</si>
  <si>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</si>
  <si>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</si>
  <si>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</si>
  <si>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</si>
  <si>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</si>
  <si>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</si>
  <si>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</si>
  <si>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</si>
  <si>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</si>
  <si>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</si>
  <si>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</si>
  <si>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</si>
  <si>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</si>
  <si>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</si>
  <si>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</si>
  <si>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</si>
  <si>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</si>
  <si>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</si>
  <si>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</si>
  <si>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</si>
  <si>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</si>
  <si>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</si>
  <si>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</si>
  <si>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</si>
  <si>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</si>
  <si>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</si>
  <si>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</si>
  <si>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</si>
  <si>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</si>
  <si>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</si>
  <si>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</si>
  <si>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</si>
  <si>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</si>
  <si>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</si>
  <si>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</si>
  <si>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</si>
  <si>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</si>
  <si>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</si>
  <si>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</si>
  <si>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</si>
  <si>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</si>
  <si>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</si>
  <si>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</si>
  <si>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</si>
  <si>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</si>
  <si>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</si>
  <si>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</si>
  <si>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</si>
  <si>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</si>
  <si>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</si>
  <si>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</si>
  <si>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</si>
  <si>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</si>
  <si>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</si>
  <si>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</si>
  <si>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</si>
  <si>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</si>
  <si>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</si>
  <si>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</si>
  <si>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</si>
  <si>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</si>
  <si>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</si>
  <si>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</si>
  <si>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</si>
  <si>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</si>
  <si>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</si>
  <si>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</si>
  <si>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</si>
  <si>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</si>
  <si>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</si>
  <si>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</si>
  <si>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</si>
  <si>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</si>
  <si>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</si>
  <si>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</si>
  <si>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</si>
  <si>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</si>
  <si>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</si>
  <si>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</si>
  <si>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</si>
  <si>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</si>
  <si>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</si>
  <si>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</si>
  <si>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</si>
  <si>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</si>
  <si>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</si>
  <si>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</si>
  <si>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</si>
  <si>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</si>
  <si>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</si>
  <si>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</si>
  <si>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</si>
  <si>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</si>
  <si>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</si>
  <si>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</si>
  <si>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</si>
  <si>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</si>
  <si>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</si>
  <si>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</si>
  <si>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</si>
  <si>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</si>
  <si>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</si>
  <si>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</si>
  <si>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</si>
  <si>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</si>
  <si>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</si>
  <si>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</si>
  <si>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</si>
  <si>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</si>
  <si>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</si>
  <si>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</si>
  <si>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</si>
  <si>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</si>
  <si>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</si>
  <si>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</si>
  <si>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</si>
  <si>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</si>
  <si>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</si>
  <si>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</si>
  <si>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</si>
  <si>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</si>
  <si>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</si>
  <si>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</si>
  <si>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</si>
  <si>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</si>
  <si>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</si>
  <si>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</si>
  <si>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</si>
  <si>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</si>
  <si>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</si>
  <si>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</si>
  <si>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</si>
  <si>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</si>
  <si>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</si>
  <si>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</si>
  <si>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</si>
  <si>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</si>
  <si>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</si>
  <si>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</si>
  <si>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</si>
  <si>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</si>
  <si>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</si>
  <si>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</si>
  <si>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</si>
  <si>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</si>
  <si>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</si>
  <si>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</si>
  <si>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</si>
  <si>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</si>
  <si>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</si>
  <si>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</si>
  <si>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</si>
  <si>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</si>
  <si>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</si>
  <si>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</si>
  <si>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</si>
  <si>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</si>
  <si>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</si>
  <si>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</si>
  <si>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</si>
  <si>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</si>
  <si>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</si>
  <si>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</si>
  <si>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</si>
  <si>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</si>
  <si>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</si>
  <si>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</si>
  <si>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</si>
  <si>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</si>
  <si>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</si>
  <si>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</si>
  <si>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</si>
  <si>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</si>
  <si>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</si>
  <si>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</si>
  <si>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</si>
  <si>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</si>
  <si>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</si>
  <si>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</si>
  <si>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</si>
  <si>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</si>
  <si>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</si>
  <si>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</si>
  <si>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</si>
  <si>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</si>
  <si>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</si>
  <si>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</si>
  <si>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</si>
  <si>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</si>
  <si>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</si>
  <si>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</si>
  <si>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</si>
  <si>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</si>
  <si>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</si>
  <si>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</si>
  <si>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</si>
  <si>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</si>
  <si>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</si>
  <si>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</si>
  <si>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</si>
  <si>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</si>
  <si>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</si>
  <si>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</si>
  <si>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</si>
  <si>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</si>
  <si>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</si>
  <si>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</si>
  <si>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</si>
  <si>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</si>
  <si>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</si>
  <si>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</si>
  <si>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</si>
  <si>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</si>
  <si>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</si>
  <si>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</si>
  <si>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</si>
  <si>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</si>
  <si>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</si>
  <si>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</si>
  <si>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</si>
  <si>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</si>
  <si>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</si>
  <si>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</si>
  <si>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</si>
  <si>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</si>
  <si>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</si>
  <si>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</si>
  <si>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</si>
  <si>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</si>
  <si>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</si>
  <si>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</si>
  <si>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</si>
  <si>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</si>
  <si>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</si>
  <si>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</si>
  <si>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</si>
  <si>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</si>
  <si>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</si>
  <si>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</si>
  <si>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</si>
  <si>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</si>
  <si>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</si>
  <si>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</si>
  <si>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</si>
  <si>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</si>
  <si>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</si>
  <si>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</si>
  <si>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</si>
  <si>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</si>
  <si>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</si>
  <si>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</si>
  <si>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</si>
  <si>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</si>
  <si>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</si>
  <si>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</si>
  <si>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</si>
  <si>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</si>
  <si>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</si>
  <si>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</si>
  <si>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</si>
  <si>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</si>
  <si>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</si>
  <si>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</si>
  <si>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</si>
  <si>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</si>
  <si>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</si>
  <si>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</si>
  <si>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</si>
  <si>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</si>
  <si>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</si>
  <si>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</si>
  <si>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</si>
  <si>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</si>
  <si>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</si>
  <si>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</si>
  <si>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</si>
  <si>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</si>
  <si>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</si>
  <si>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</si>
  <si>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</si>
  <si>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</si>
  <si>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</si>
  <si>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</si>
  <si>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</si>
  <si>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</si>
  <si>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</si>
  <si>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</si>
  <si>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</si>
  <si>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</si>
  <si>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</si>
  <si>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</si>
  <si>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</si>
  <si>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</si>
  <si>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</si>
  <si>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</si>
  <si>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</si>
  <si>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</si>
  <si>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</si>
  <si>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</si>
  <si>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</si>
  <si>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</si>
  <si>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</si>
  <si>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</si>
  <si>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</si>
  <si>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</si>
  <si>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</si>
  <si>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</si>
  <si>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</si>
  <si>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</si>
  <si>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</si>
  <si>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</si>
  <si>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</si>
  <si>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</si>
  <si>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</si>
  <si>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</si>
  <si>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</si>
  <si>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</si>
  <si>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</si>
  <si>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</si>
  <si>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</si>
  <si>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</si>
  <si>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</si>
  <si>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</si>
  <si>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</si>
  <si>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</si>
  <si>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</si>
  <si>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</si>
  <si>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</si>
  <si>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</si>
  <si>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</si>
  <si>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</si>
  <si>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</si>
  <si>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</si>
  <si>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</si>
  <si>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</si>
  <si>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</si>
  <si>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</si>
  <si>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</si>
  <si>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</si>
  <si>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</si>
  <si>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</si>
  <si>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</si>
  <si>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</si>
  <si>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</si>
  <si>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</si>
  <si>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</si>
  <si>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</si>
  <si>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</si>
  <si>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</si>
  <si>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</si>
  <si>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</si>
  <si>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</si>
  <si>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</si>
  <si>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</si>
  <si>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</si>
  <si>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</si>
  <si>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</si>
  <si>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</si>
  <si>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</si>
  <si>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</si>
  <si>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</si>
  <si>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</si>
  <si>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</si>
  <si>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</si>
  <si>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</si>
  <si>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</si>
  <si>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</si>
  <si>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</si>
  <si>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</si>
  <si>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</si>
  <si>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</si>
  <si>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</si>
  <si>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</si>
  <si>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</si>
  <si>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</si>
  <si>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</si>
  <si>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</si>
  <si>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</si>
  <si>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</si>
  <si>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</si>
  <si>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</si>
  <si>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</si>
  <si>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</si>
  <si>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</si>
  <si>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</si>
  <si>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</si>
  <si>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</si>
  <si>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</si>
  <si>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</si>
  <si>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</si>
  <si>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</si>
  <si>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</si>
  <si>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</si>
  <si>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</si>
  <si>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</si>
  <si>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</si>
  <si>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</si>
  <si>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</si>
  <si>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</si>
  <si>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</si>
  <si>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</si>
  <si>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</si>
  <si>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</si>
  <si>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</si>
  <si>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</si>
  <si>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</si>
  <si>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</si>
  <si>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Check</t>
  </si>
  <si>
    <t>Result</t>
  </si>
  <si>
    <t>Total Records</t>
  </si>
  <si>
    <t>Missing Values</t>
  </si>
  <si>
    <t>Control Group Count</t>
  </si>
  <si>
    <t>Treatment Group Count</t>
  </si>
  <si>
    <t>Duplicate User IDs</t>
  </si>
  <si>
    <t>Invalid Binary Values</t>
  </si>
  <si>
    <t>Revenue Outliers</t>
  </si>
  <si>
    <t>Segment Distribution Check</t>
  </si>
  <si>
    <t>Row Labels</t>
  </si>
  <si>
    <t>(blank)</t>
  </si>
  <si>
    <t>Grand Total</t>
  </si>
  <si>
    <t>Count of user_id</t>
  </si>
  <si>
    <t>Control Count</t>
  </si>
  <si>
    <t>Treatment Count</t>
  </si>
  <si>
    <t>Duplicate Values</t>
  </si>
  <si>
    <t>Total</t>
  </si>
  <si>
    <t>Column Labels</t>
  </si>
  <si>
    <t>Balanced across Control and Treatment groups</t>
  </si>
  <si>
    <t>Metric</t>
  </si>
  <si>
    <t>Value</t>
  </si>
  <si>
    <t>Average Revenue</t>
  </si>
  <si>
    <t>Outlier Threshold (3 × Avg Revenue)</t>
  </si>
  <si>
    <t>Number of Revenue Outliers</t>
  </si>
  <si>
    <t>=AVERAGE(experiment_data!L2:L1409)</t>
  </si>
  <si>
    <t>=COUNTIF(experiment_data!L2:L1409,"&gt;"&amp;B3)</t>
  </si>
  <si>
    <t>Observation:</t>
  </si>
  <si>
    <t>72 records have revenue values greater than three times the average revenue. These records were retained because they may represent legitimate high-value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</si>
</sst>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ivi/Desktop/BITS%20BA%20Course/Capstone%20Project/part2_kpi_experiment/data/campaign_experiment_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i" refreshedDate="46193.820763425923" createdVersion="8" refreshedVersion="8" minRefreshableVersion="3" recordCount="1409" xr:uid="{86CD3004-C6BA-47BB-A157-AF2E8551909D}">
  <cacheSource type="worksheet">
    <worksheetSource ref="A1:P1048576" sheet="experiment_data" r:id="rId2"/>
  </cacheSource>
  <cacheFields count="16">
    <cacheField name="user_id" numFmtId="0">
      <sharedItems containsBlank="1" count="1401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  <m/>
      </sharedItems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i" refreshedDate="46193.935935416666" createdVersion="8" refreshedVersion="8" minRefreshableVersion="3" recordCount="1408" xr:uid="{E33E2C03-0ACE-4C5D-B18A-EA74C56A8DD1}">
  <cacheSource type="worksheet">
    <worksheetSource ref="A1:P1409" sheet="experiment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x v="0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x v="1"/>
    <d v="2025-03-08T00:00:00"/>
    <x v="0"/>
    <s v="West"/>
    <s v="Mobile"/>
    <s v="Organic"/>
    <s v="Free"/>
    <n v="1"/>
    <n v="0"/>
    <n v="0"/>
    <n v="0"/>
    <n v="0"/>
    <n v="0"/>
    <n v="0"/>
    <m/>
    <n v="48.6"/>
  </r>
  <r>
    <x v="2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x v="3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x v="4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x v="5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x v="6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x v="7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x v="8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x v="9"/>
    <d v="2025-05-29T00:00:00"/>
    <x v="0"/>
    <s v="West"/>
    <s v="Desktop"/>
    <s v="Social"/>
    <s v="Free"/>
    <n v="1"/>
    <n v="0"/>
    <n v="0"/>
    <n v="0"/>
    <n v="0"/>
    <n v="0"/>
    <n v="0"/>
    <m/>
    <n v="57.3"/>
  </r>
  <r>
    <x v="10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x v="11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x v="12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x v="13"/>
    <d v="2025-03-02T00:00:00"/>
    <x v="0"/>
    <s v="West"/>
    <s v="Mobile"/>
    <s v="Social"/>
    <s v="Basic"/>
    <n v="1"/>
    <n v="0"/>
    <n v="0"/>
    <n v="0"/>
    <n v="0"/>
    <n v="0"/>
    <n v="0"/>
    <m/>
    <n v="82.4"/>
  </r>
  <r>
    <x v="14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x v="15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x v="16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x v="17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x v="18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x v="19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x v="20"/>
    <d v="2025-04-13T00:00:00"/>
    <x v="0"/>
    <s v="East"/>
    <s v="Mobile"/>
    <s v="Social"/>
    <s v="Free"/>
    <n v="1"/>
    <n v="0"/>
    <n v="0"/>
    <n v="0"/>
    <n v="0"/>
    <n v="0"/>
    <n v="0"/>
    <m/>
    <n v="62.7"/>
  </r>
  <r>
    <x v="21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x v="22"/>
    <d v="2025-05-25T00:00:00"/>
    <x v="0"/>
    <s v="North"/>
    <s v="Desktop"/>
    <s v="Organic"/>
    <s v="Free"/>
    <n v="0"/>
    <n v="0"/>
    <n v="0"/>
    <n v="0"/>
    <n v="0"/>
    <n v="0"/>
    <n v="0"/>
    <m/>
    <n v="54"/>
  </r>
  <r>
    <x v="23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x v="24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x v="25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x v="26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x v="27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x v="28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x v="29"/>
    <d v="2025-05-19T00:00:00"/>
    <x v="0"/>
    <s v="East"/>
    <s v="Mobile"/>
    <s v="Social"/>
    <s v="Basic"/>
    <n v="1"/>
    <n v="1"/>
    <n v="1"/>
    <n v="0"/>
    <n v="0"/>
    <n v="0"/>
    <n v="0"/>
    <m/>
    <n v="41"/>
  </r>
  <r>
    <x v="30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x v="31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x v="32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x v="33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x v="34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x v="35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x v="36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x v="37"/>
    <d v="2025-01-20T00:00:00"/>
    <x v="0"/>
    <s v="East"/>
    <s v="Mobile"/>
    <s v="Organic"/>
    <s v="Free"/>
    <n v="1"/>
    <n v="1"/>
    <n v="1"/>
    <n v="0"/>
    <n v="0"/>
    <n v="3"/>
    <n v="0"/>
    <m/>
    <n v="48.9"/>
  </r>
  <r>
    <x v="38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x v="39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x v="40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x v="41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x v="42"/>
    <d v="2025-02-14T00:00:00"/>
    <x v="0"/>
    <s v="South"/>
    <s v="Desktop"/>
    <s v="Organic"/>
    <s v="Free"/>
    <n v="0"/>
    <n v="0"/>
    <n v="0"/>
    <n v="0"/>
    <n v="0"/>
    <n v="0"/>
    <n v="0"/>
    <m/>
    <n v="73"/>
  </r>
  <r>
    <x v="43"/>
    <d v="2025-02-27T00:00:00"/>
    <x v="0"/>
    <s v="East"/>
    <s v="Mobile"/>
    <s v="Email"/>
    <s v="Free"/>
    <n v="1"/>
    <n v="0"/>
    <n v="0"/>
    <n v="0"/>
    <n v="0"/>
    <n v="0"/>
    <n v="0"/>
    <m/>
    <n v="65"/>
  </r>
  <r>
    <x v="44"/>
    <d v="2025-03-28T00:00:00"/>
    <x v="0"/>
    <s v="East"/>
    <s v="Mobile"/>
    <s v="Social"/>
    <s v="Free"/>
    <n v="1"/>
    <n v="0"/>
    <n v="0"/>
    <n v="0"/>
    <n v="0"/>
    <n v="4"/>
    <n v="0"/>
    <m/>
    <n v="56.3"/>
  </r>
  <r>
    <x v="45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x v="46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x v="47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x v="48"/>
    <d v="2025-01-08T00:00:00"/>
    <x v="0"/>
    <s v="North"/>
    <s v="Mobile"/>
    <s v="Social"/>
    <s v="Free"/>
    <n v="1"/>
    <n v="1"/>
    <n v="0"/>
    <n v="0"/>
    <n v="0"/>
    <n v="0"/>
    <n v="0"/>
    <m/>
    <n v="42.9"/>
  </r>
  <r>
    <x v="49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x v="50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x v="51"/>
    <d v="2025-02-14T00:00:00"/>
    <x v="0"/>
    <s v="East"/>
    <s v="Desktop"/>
    <s v="Email"/>
    <s v="Premium"/>
    <n v="1"/>
    <n v="0"/>
    <n v="0"/>
    <n v="0"/>
    <n v="0"/>
    <n v="0"/>
    <n v="0"/>
    <m/>
    <n v="63"/>
  </r>
  <r>
    <x v="52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x v="53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x v="54"/>
    <d v="2025-02-19T00:00:00"/>
    <x v="0"/>
    <s v="South"/>
    <s v="Mobile"/>
    <s v="Organic"/>
    <s v="Free"/>
    <n v="0"/>
    <n v="0"/>
    <n v="0"/>
    <n v="0"/>
    <n v="0"/>
    <n v="0"/>
    <n v="0"/>
    <m/>
    <n v="54"/>
  </r>
  <r>
    <x v="55"/>
    <d v="2025-05-17T00:00:00"/>
    <x v="0"/>
    <s v="South"/>
    <s v="Mobile"/>
    <s v="Social"/>
    <s v="Basic"/>
    <n v="1"/>
    <n v="0"/>
    <n v="0"/>
    <n v="0"/>
    <n v="0"/>
    <n v="2"/>
    <n v="0"/>
    <m/>
    <n v="50"/>
  </r>
  <r>
    <x v="56"/>
    <d v="2025-04-01T00:00:00"/>
    <x v="0"/>
    <s v="East"/>
    <s v="Mobile"/>
    <s v="Social"/>
    <s v="Basic"/>
    <n v="0"/>
    <n v="0"/>
    <n v="0"/>
    <n v="0"/>
    <n v="0"/>
    <n v="0"/>
    <n v="0"/>
    <m/>
    <n v="48.1"/>
  </r>
  <r>
    <x v="57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x v="58"/>
    <d v="2025-04-14T00:00:00"/>
    <x v="0"/>
    <s v="North"/>
    <s v="Mobile"/>
    <s v="Social"/>
    <s v="Free"/>
    <n v="0"/>
    <n v="0"/>
    <n v="0"/>
    <n v="0"/>
    <n v="0"/>
    <n v="2"/>
    <n v="0"/>
    <m/>
    <n v="48.9"/>
  </r>
  <r>
    <x v="59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x v="60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x v="61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x v="62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x v="63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x v="64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x v="65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x v="66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x v="67"/>
    <d v="2025-05-08T00:00:00"/>
    <x v="0"/>
    <s v="West"/>
    <s v="Mobile"/>
    <s v="Social"/>
    <s v="Free"/>
    <n v="0"/>
    <n v="0"/>
    <n v="0"/>
    <n v="0"/>
    <n v="0"/>
    <n v="0"/>
    <n v="0"/>
    <m/>
    <n v="60.4"/>
  </r>
  <r>
    <x v="68"/>
    <d v="2025-03-19T00:00:00"/>
    <x v="0"/>
    <s v="East"/>
    <s v="Desktop"/>
    <s v="Email"/>
    <s v="Free"/>
    <n v="1"/>
    <n v="1"/>
    <n v="1"/>
    <n v="0"/>
    <n v="0"/>
    <n v="0"/>
    <n v="0"/>
    <m/>
    <n v="55.3"/>
  </r>
  <r>
    <x v="69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x v="70"/>
    <d v="2025-03-08T00:00:00"/>
    <x v="0"/>
    <s v="West"/>
    <s v="Mobile"/>
    <s v="Email"/>
    <s v="Free"/>
    <n v="0"/>
    <n v="0"/>
    <n v="0"/>
    <n v="0"/>
    <n v="0"/>
    <n v="0"/>
    <n v="0"/>
    <m/>
    <n v="29.4"/>
  </r>
  <r>
    <x v="71"/>
    <d v="2025-03-08T00:00:00"/>
    <x v="0"/>
    <s v="East"/>
    <s v="Mobile"/>
    <s v="Email"/>
    <s v="Free"/>
    <n v="1"/>
    <n v="0"/>
    <n v="0"/>
    <n v="0"/>
    <n v="0"/>
    <n v="0"/>
    <n v="0"/>
    <m/>
    <n v="54.2"/>
  </r>
  <r>
    <x v="72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x v="73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x v="74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x v="75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x v="76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x v="77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x v="78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x v="79"/>
    <d v="2025-05-21T00:00:00"/>
    <x v="0"/>
    <s v="East"/>
    <s v="Mobile"/>
    <s v="Social"/>
    <s v="Free"/>
    <n v="1"/>
    <n v="0"/>
    <n v="0"/>
    <n v="0"/>
    <n v="0"/>
    <n v="0"/>
    <n v="0"/>
    <m/>
    <n v="44.2"/>
  </r>
  <r>
    <x v="80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x v="81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x v="82"/>
    <d v="2025-04-01T00:00:00"/>
    <x v="0"/>
    <s v="South"/>
    <s v="Desktop"/>
    <s v="Email"/>
    <s v="Free"/>
    <n v="0"/>
    <n v="0"/>
    <n v="0"/>
    <n v="0"/>
    <n v="0"/>
    <n v="0"/>
    <n v="0"/>
    <m/>
    <n v="64.7"/>
  </r>
  <r>
    <x v="83"/>
    <d v="2025-03-03T00:00:00"/>
    <x v="0"/>
    <s v="West"/>
    <s v="Mobile"/>
    <s v="Social"/>
    <s v="Basic"/>
    <n v="0"/>
    <n v="0"/>
    <n v="0"/>
    <n v="0"/>
    <n v="0"/>
    <n v="0"/>
    <n v="0"/>
    <m/>
    <n v="60.4"/>
  </r>
  <r>
    <x v="84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x v="85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x v="86"/>
    <d v="2025-01-22T00:00:00"/>
    <x v="0"/>
    <s v="West"/>
    <s v="Desktop"/>
    <s v="Social"/>
    <s v="Basic"/>
    <n v="0"/>
    <n v="0"/>
    <n v="0"/>
    <n v="0"/>
    <n v="0"/>
    <n v="0"/>
    <n v="0"/>
    <m/>
    <n v="51"/>
  </r>
  <r>
    <x v="87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x v="88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x v="89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x v="90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x v="91"/>
    <d v="2025-02-27T00:00:00"/>
    <x v="0"/>
    <s v="South"/>
    <s v="Mobile"/>
    <s v="Social"/>
    <s v="Free"/>
    <n v="1"/>
    <n v="0"/>
    <n v="0"/>
    <n v="0"/>
    <n v="0"/>
    <n v="0"/>
    <n v="0"/>
    <m/>
    <n v="42.3"/>
  </r>
  <r>
    <x v="92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x v="93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x v="94"/>
    <d v="2025-04-13T00:00:00"/>
    <x v="0"/>
    <s v="East"/>
    <s v="Mobile"/>
    <s v="Organic"/>
    <s v="Free"/>
    <n v="0"/>
    <n v="0"/>
    <n v="0"/>
    <n v="0"/>
    <n v="0"/>
    <n v="0"/>
    <n v="0"/>
    <m/>
    <n v="84.2"/>
  </r>
  <r>
    <x v="95"/>
    <d v="2025-02-05T00:00:00"/>
    <x v="0"/>
    <s v="East"/>
    <s v="Mobile"/>
    <s v="Social"/>
    <s v="Free"/>
    <n v="0"/>
    <n v="0"/>
    <n v="0"/>
    <n v="0"/>
    <n v="0"/>
    <n v="0"/>
    <n v="0"/>
    <m/>
    <n v="68"/>
  </r>
  <r>
    <x v="96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x v="97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x v="98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x v="99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x v="100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x v="101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x v="102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x v="103"/>
    <d v="2025-03-27T00:00:00"/>
    <x v="0"/>
    <s v="South"/>
    <s v="Mobile"/>
    <s v="Email"/>
    <s v="Free"/>
    <n v="1"/>
    <n v="0"/>
    <n v="0"/>
    <n v="0"/>
    <n v="0"/>
    <n v="1"/>
    <n v="0"/>
    <m/>
    <n v="67.2"/>
  </r>
  <r>
    <x v="104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x v="105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x v="106"/>
    <d v="2025-01-23T00:00:00"/>
    <x v="0"/>
    <s v="West"/>
    <s v="Mobile"/>
    <s v="Email"/>
    <s v="Free"/>
    <n v="1"/>
    <n v="1"/>
    <n v="1"/>
    <n v="0"/>
    <n v="0"/>
    <n v="4"/>
    <n v="0"/>
    <m/>
    <n v="51.1"/>
  </r>
  <r>
    <x v="107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x v="108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x v="109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x v="110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x v="111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x v="112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x v="113"/>
    <d v="2025-01-23T00:00:00"/>
    <x v="0"/>
    <s v="South"/>
    <s v="Mobile"/>
    <s v="Social"/>
    <s v="Free"/>
    <n v="1"/>
    <n v="1"/>
    <n v="0"/>
    <n v="0"/>
    <n v="0"/>
    <n v="0"/>
    <n v="0"/>
    <m/>
    <n v="61.5"/>
  </r>
  <r>
    <x v="114"/>
    <d v="2025-03-28T00:00:00"/>
    <x v="0"/>
    <s v="East"/>
    <s v="Desktop"/>
    <s v="Social"/>
    <s v="Free"/>
    <n v="1"/>
    <n v="0"/>
    <n v="0"/>
    <n v="0"/>
    <n v="0"/>
    <n v="0"/>
    <n v="0"/>
    <m/>
    <n v="63.2"/>
  </r>
  <r>
    <x v="115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x v="116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x v="117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x v="118"/>
    <d v="2025-03-18T00:00:00"/>
    <x v="0"/>
    <s v="East"/>
    <s v="Mobile"/>
    <s v="Social"/>
    <s v="Free"/>
    <n v="1"/>
    <n v="1"/>
    <n v="1"/>
    <n v="0"/>
    <n v="0"/>
    <n v="0"/>
    <n v="0"/>
    <m/>
    <n v="39.1"/>
  </r>
  <r>
    <x v="119"/>
    <d v="2025-03-31T00:00:00"/>
    <x v="0"/>
    <s v="North"/>
    <s v="Mobile"/>
    <s v="Email"/>
    <s v="Free"/>
    <n v="1"/>
    <n v="0"/>
    <n v="0"/>
    <n v="0"/>
    <n v="0"/>
    <n v="0"/>
    <n v="0"/>
    <m/>
    <n v="43.8"/>
  </r>
  <r>
    <x v="120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x v="121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x v="122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x v="123"/>
    <d v="2025-05-30T00:00:00"/>
    <x v="0"/>
    <s v="West"/>
    <m/>
    <s v="Email"/>
    <s v="Basic"/>
    <n v="1"/>
    <n v="1"/>
    <n v="0"/>
    <n v="0"/>
    <n v="0"/>
    <n v="0"/>
    <n v="0"/>
    <m/>
    <n v="47.9"/>
  </r>
  <r>
    <x v="124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x v="125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x v="126"/>
    <d v="2025-03-25T00:00:00"/>
    <x v="0"/>
    <s v="North"/>
    <s v="Desktop"/>
    <s v="Email"/>
    <s v="Free"/>
    <n v="0"/>
    <n v="0"/>
    <n v="0"/>
    <n v="0"/>
    <n v="0"/>
    <n v="0"/>
    <n v="0"/>
    <m/>
    <n v="64.7"/>
  </r>
  <r>
    <x v="127"/>
    <d v="2025-04-29T00:00:00"/>
    <x v="0"/>
    <s v="South"/>
    <s v="Desktop"/>
    <s v="Organic"/>
    <s v="Free"/>
    <n v="1"/>
    <n v="1"/>
    <n v="1"/>
    <n v="0"/>
    <n v="0"/>
    <n v="0"/>
    <n v="0"/>
    <m/>
    <n v="64"/>
  </r>
  <r>
    <x v="128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x v="129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x v="130"/>
    <d v="2025-02-03T00:00:00"/>
    <x v="0"/>
    <s v="South"/>
    <s v="Mobile"/>
    <s v="Organic"/>
    <s v="Free"/>
    <n v="0"/>
    <n v="0"/>
    <n v="0"/>
    <n v="0"/>
    <n v="0"/>
    <n v="0"/>
    <n v="0"/>
    <m/>
    <n v="33"/>
  </r>
  <r>
    <x v="131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x v="132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x v="133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x v="134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x v="135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x v="136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x v="137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x v="138"/>
    <d v="2025-01-29T00:00:00"/>
    <x v="0"/>
    <s v="West"/>
    <s v="Mobile"/>
    <s v="Social"/>
    <s v="Basic"/>
    <n v="1"/>
    <n v="1"/>
    <n v="1"/>
    <n v="0"/>
    <n v="0"/>
    <n v="0"/>
    <n v="0"/>
    <m/>
    <n v="59.1"/>
  </r>
  <r>
    <x v="139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x v="140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x v="141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x v="142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x v="143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x v="144"/>
    <d v="2025-04-11T00:00:00"/>
    <x v="0"/>
    <s v="East"/>
    <s v="Mobile"/>
    <s v="Organic"/>
    <s v="Free"/>
    <n v="1"/>
    <n v="0"/>
    <n v="0"/>
    <n v="0"/>
    <n v="0"/>
    <n v="1"/>
    <n v="0"/>
    <m/>
    <n v="53.9"/>
  </r>
  <r>
    <x v="145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x v="146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x v="147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x v="148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x v="149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x v="150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x v="151"/>
    <d v="2025-03-13T00:00:00"/>
    <x v="0"/>
    <s v="South"/>
    <s v="Mobile"/>
    <s v="Email"/>
    <s v="Free"/>
    <n v="1"/>
    <n v="0"/>
    <n v="0"/>
    <n v="0"/>
    <n v="0"/>
    <n v="0"/>
    <n v="0"/>
    <m/>
    <n v="58.3"/>
  </r>
  <r>
    <x v="152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x v="153"/>
    <d v="2025-03-04T00:00:00"/>
    <x v="0"/>
    <s v="South"/>
    <s v="Mobile"/>
    <s v="Referral"/>
    <s v="Free"/>
    <n v="1"/>
    <n v="1"/>
    <n v="0"/>
    <n v="0"/>
    <n v="0"/>
    <n v="0"/>
    <n v="0"/>
    <m/>
    <m/>
  </r>
  <r>
    <x v="154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x v="155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x v="156"/>
    <d v="2025-04-22T00:00:00"/>
    <x v="0"/>
    <s v="West"/>
    <s v="Mobile"/>
    <s v="Organic"/>
    <s v="Free"/>
    <n v="0"/>
    <n v="0"/>
    <n v="0"/>
    <n v="0"/>
    <n v="0"/>
    <n v="0"/>
    <n v="0"/>
    <m/>
    <n v="58.6"/>
  </r>
  <r>
    <x v="157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x v="158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x v="159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x v="160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x v="161"/>
    <d v="2025-02-01T00:00:00"/>
    <x v="0"/>
    <s v="North"/>
    <s v="Mobile"/>
    <s v="Organic"/>
    <s v="Free"/>
    <n v="0"/>
    <n v="0"/>
    <n v="0"/>
    <n v="0"/>
    <n v="0"/>
    <n v="0"/>
    <n v="0"/>
    <m/>
    <m/>
  </r>
  <r>
    <x v="162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x v="163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x v="164"/>
    <d v="2025-05-19T00:00:00"/>
    <x v="0"/>
    <s v="East"/>
    <s v="Mobile"/>
    <s v="Social"/>
    <s v="Free"/>
    <n v="1"/>
    <n v="0"/>
    <n v="0"/>
    <n v="0"/>
    <n v="0"/>
    <n v="0"/>
    <n v="0"/>
    <m/>
    <n v="50.6"/>
  </r>
  <r>
    <x v="165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x v="166"/>
    <d v="2025-04-06T00:00:00"/>
    <x v="0"/>
    <s v="South"/>
    <s v="Mobile"/>
    <s v="Social"/>
    <s v="Free"/>
    <n v="1"/>
    <n v="0"/>
    <n v="0"/>
    <n v="0"/>
    <n v="0"/>
    <n v="0"/>
    <n v="0"/>
    <m/>
    <n v="59.7"/>
  </r>
  <r>
    <x v="167"/>
    <d v="2025-03-06T00:00:00"/>
    <x v="0"/>
    <s v="South"/>
    <s v="Mobile"/>
    <s v="Paid Search"/>
    <s v="Free"/>
    <n v="1"/>
    <n v="0"/>
    <n v="0"/>
    <n v="0"/>
    <n v="0"/>
    <n v="1"/>
    <n v="0"/>
    <m/>
    <m/>
  </r>
  <r>
    <x v="168"/>
    <d v="2025-03-10T00:00:00"/>
    <x v="0"/>
    <s v="West"/>
    <s v="Mobile"/>
    <s v="Social"/>
    <s v="Basic"/>
    <n v="0"/>
    <n v="0"/>
    <n v="0"/>
    <n v="0"/>
    <n v="0"/>
    <n v="0"/>
    <n v="0"/>
    <m/>
    <n v="54.5"/>
  </r>
  <r>
    <x v="169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x v="170"/>
    <d v="2025-05-29T00:00:00"/>
    <x v="0"/>
    <s v="East"/>
    <m/>
    <s v="Paid Search"/>
    <s v="Free"/>
    <n v="1"/>
    <n v="1"/>
    <n v="1"/>
    <n v="0"/>
    <n v="0"/>
    <n v="0"/>
    <n v="0"/>
    <m/>
    <n v="44.4"/>
  </r>
  <r>
    <x v="171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x v="172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x v="173"/>
    <d v="2025-01-26T00:00:00"/>
    <x v="0"/>
    <s v="North"/>
    <s v="Desktop"/>
    <s v="Email"/>
    <s v="Free"/>
    <n v="1"/>
    <n v="0"/>
    <n v="0"/>
    <n v="0"/>
    <n v="0"/>
    <n v="2"/>
    <n v="0"/>
    <m/>
    <n v="28.7"/>
  </r>
  <r>
    <x v="174"/>
    <d v="2025-04-23T00:00:00"/>
    <x v="0"/>
    <s v="East"/>
    <s v="Mobile"/>
    <s v="Social"/>
    <s v="Basic"/>
    <n v="0"/>
    <n v="0"/>
    <n v="0"/>
    <n v="0"/>
    <n v="0"/>
    <n v="0"/>
    <n v="0"/>
    <m/>
    <n v="53"/>
  </r>
  <r>
    <x v="175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x v="176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x v="177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x v="178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x v="179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x v="180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x v="181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x v="182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x v="183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x v="184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x v="185"/>
    <d v="2025-04-28T00:00:00"/>
    <x v="0"/>
    <s v="East"/>
    <s v="Tablet"/>
    <s v="Email"/>
    <s v="Basic"/>
    <n v="1"/>
    <n v="1"/>
    <n v="1"/>
    <n v="0"/>
    <n v="0"/>
    <n v="0"/>
    <n v="0"/>
    <m/>
    <n v="80"/>
  </r>
  <r>
    <x v="186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x v="187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x v="188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x v="189"/>
    <d v="2025-02-18T00:00:00"/>
    <x v="0"/>
    <s v="North"/>
    <s v="Tablet"/>
    <s v="Email"/>
    <s v="Free"/>
    <n v="1"/>
    <n v="0"/>
    <n v="0"/>
    <n v="0"/>
    <n v="0"/>
    <n v="0"/>
    <n v="0"/>
    <m/>
    <n v="62.5"/>
  </r>
  <r>
    <x v="190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x v="191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x v="192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x v="193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x v="194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x v="195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x v="196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x v="197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x v="198"/>
    <d v="2025-05-14T00:00:00"/>
    <x v="0"/>
    <s v="North"/>
    <s v="Mobile"/>
    <s v="Organic"/>
    <s v="Basic"/>
    <n v="1"/>
    <n v="0"/>
    <n v="0"/>
    <n v="0"/>
    <n v="0"/>
    <n v="0"/>
    <n v="0"/>
    <m/>
    <n v="64"/>
  </r>
  <r>
    <x v="199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x v="200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x v="201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x v="202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x v="203"/>
    <d v="2025-01-27T00:00:00"/>
    <x v="0"/>
    <s v="East"/>
    <s v="Mobile"/>
    <s v="Social"/>
    <s v="Basic"/>
    <n v="0"/>
    <n v="0"/>
    <n v="0"/>
    <n v="0"/>
    <n v="0"/>
    <n v="0"/>
    <n v="0"/>
    <m/>
    <n v="84.2"/>
  </r>
  <r>
    <x v="204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x v="205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x v="206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x v="207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x v="208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x v="209"/>
    <d v="2025-02-02T00:00:00"/>
    <x v="0"/>
    <s v="North"/>
    <s v="Mobile"/>
    <s v="Email"/>
    <s v="Free"/>
    <n v="1"/>
    <n v="0"/>
    <n v="0"/>
    <n v="0"/>
    <n v="0"/>
    <n v="0"/>
    <n v="0"/>
    <m/>
    <n v="54"/>
  </r>
  <r>
    <x v="210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x v="211"/>
    <d v="2025-01-24T00:00:00"/>
    <x v="0"/>
    <s v="East"/>
    <s v="Mobile"/>
    <s v="Organic"/>
    <s v="Free"/>
    <n v="1"/>
    <n v="0"/>
    <n v="0"/>
    <n v="0"/>
    <n v="0"/>
    <n v="0"/>
    <n v="0"/>
    <m/>
    <n v="64.2"/>
  </r>
  <r>
    <x v="212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x v="213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x v="214"/>
    <d v="2025-05-28T00:00:00"/>
    <x v="0"/>
    <s v="South"/>
    <s v="Mobile"/>
    <s v="Email"/>
    <s v="Basic"/>
    <n v="1"/>
    <n v="1"/>
    <n v="1"/>
    <n v="0"/>
    <n v="0"/>
    <n v="0"/>
    <n v="0"/>
    <m/>
    <n v="62.1"/>
  </r>
  <r>
    <x v="215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x v="216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x v="217"/>
    <d v="2025-02-25T00:00:00"/>
    <x v="0"/>
    <s v="North"/>
    <s v="Tablet"/>
    <s v="Social"/>
    <s v="Free"/>
    <n v="1"/>
    <n v="0"/>
    <n v="0"/>
    <n v="0"/>
    <n v="0"/>
    <n v="0"/>
    <n v="0"/>
    <m/>
    <m/>
  </r>
  <r>
    <x v="218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x v="219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x v="220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x v="221"/>
    <d v="2025-01-12T00:00:00"/>
    <x v="0"/>
    <s v="South"/>
    <s v="Mobile"/>
    <s v="Social"/>
    <s v="Free"/>
    <n v="1"/>
    <n v="0"/>
    <n v="0"/>
    <n v="0"/>
    <n v="0"/>
    <n v="0"/>
    <n v="0"/>
    <m/>
    <n v="67"/>
  </r>
  <r>
    <x v="222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x v="223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x v="224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x v="225"/>
    <d v="2025-03-12T00:00:00"/>
    <x v="0"/>
    <s v="South"/>
    <s v="Mobile"/>
    <s v="Organic"/>
    <s v="Basic"/>
    <n v="1"/>
    <n v="0"/>
    <n v="0"/>
    <n v="0"/>
    <n v="0"/>
    <n v="0"/>
    <n v="0"/>
    <m/>
    <n v="33"/>
  </r>
  <r>
    <x v="226"/>
    <d v="2025-04-20T00:00:00"/>
    <x v="0"/>
    <s v="North"/>
    <s v="Tablet"/>
    <s v="Email"/>
    <s v="Free"/>
    <n v="0"/>
    <n v="0"/>
    <n v="0"/>
    <n v="0"/>
    <n v="0"/>
    <n v="0"/>
    <n v="0"/>
    <m/>
    <n v="52.5"/>
  </r>
  <r>
    <x v="227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x v="228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x v="229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x v="230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x v="231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x v="232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x v="233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x v="234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x v="235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x v="236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x v="237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x v="238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x v="239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x v="240"/>
    <d v="2025-02-23T00:00:00"/>
    <x v="0"/>
    <s v="West"/>
    <s v="Mobile"/>
    <s v="Email"/>
    <s v="Free"/>
    <n v="0"/>
    <n v="0"/>
    <n v="0"/>
    <n v="0"/>
    <n v="0"/>
    <n v="0"/>
    <n v="0"/>
    <m/>
    <n v="65.8"/>
  </r>
  <r>
    <x v="241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x v="242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x v="243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x v="244"/>
    <d v="2025-01-28T00:00:00"/>
    <x v="0"/>
    <s v="North"/>
    <s v="Mobile"/>
    <s v="Social"/>
    <s v="Free"/>
    <n v="1"/>
    <n v="1"/>
    <n v="1"/>
    <n v="0"/>
    <n v="0"/>
    <n v="0"/>
    <n v="0"/>
    <m/>
    <n v="57.7"/>
  </r>
  <r>
    <x v="245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x v="246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x v="247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x v="248"/>
    <d v="2025-05-22T00:00:00"/>
    <x v="0"/>
    <s v="North"/>
    <s v="Mobile"/>
    <s v="Social"/>
    <s v="Free"/>
    <n v="1"/>
    <n v="0"/>
    <n v="0"/>
    <n v="0"/>
    <n v="0"/>
    <n v="0"/>
    <n v="0"/>
    <m/>
    <n v="51.5"/>
  </r>
  <r>
    <x v="249"/>
    <d v="2025-04-25T00:00:00"/>
    <x v="0"/>
    <s v="North"/>
    <s v="Desktop"/>
    <s v="Email"/>
    <s v="Free"/>
    <n v="1"/>
    <n v="0"/>
    <n v="0"/>
    <n v="0"/>
    <n v="0"/>
    <n v="0"/>
    <n v="0"/>
    <m/>
    <n v="70.8"/>
  </r>
  <r>
    <x v="250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x v="251"/>
    <d v="2025-05-23T00:00:00"/>
    <x v="0"/>
    <s v="West"/>
    <s v="Mobile"/>
    <s v="Organic"/>
    <s v="Free"/>
    <n v="1"/>
    <n v="0"/>
    <n v="0"/>
    <n v="0"/>
    <n v="0"/>
    <n v="0"/>
    <n v="0"/>
    <m/>
    <n v="61.6"/>
  </r>
  <r>
    <x v="252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x v="253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x v="254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x v="255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x v="256"/>
    <d v="2025-04-21T00:00:00"/>
    <x v="0"/>
    <s v="North"/>
    <s v="Mobile"/>
    <s v="Email"/>
    <s v="Free"/>
    <n v="1"/>
    <n v="0"/>
    <n v="0"/>
    <n v="0"/>
    <n v="0"/>
    <n v="0"/>
    <n v="0"/>
    <m/>
    <n v="58"/>
  </r>
  <r>
    <x v="257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x v="258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x v="259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x v="260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x v="261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x v="262"/>
    <d v="2025-04-07T00:00:00"/>
    <x v="0"/>
    <s v="West"/>
    <s v="Desktop"/>
    <s v="Organic"/>
    <s v="Basic"/>
    <n v="1"/>
    <n v="0"/>
    <n v="0"/>
    <n v="0"/>
    <n v="0"/>
    <n v="0"/>
    <n v="0"/>
    <m/>
    <n v="45"/>
  </r>
  <r>
    <x v="263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x v="264"/>
    <d v="2025-05-05T00:00:00"/>
    <x v="0"/>
    <s v="West"/>
    <s v="Mobile"/>
    <s v="Social"/>
    <s v="Free"/>
    <n v="0"/>
    <n v="0"/>
    <n v="0"/>
    <n v="0"/>
    <n v="0"/>
    <n v="0"/>
    <n v="0"/>
    <m/>
    <n v="58.1"/>
  </r>
  <r>
    <x v="265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x v="266"/>
    <d v="2025-02-10T00:00:00"/>
    <x v="0"/>
    <s v="East"/>
    <s v="Mobile"/>
    <s v="Social"/>
    <s v="Free"/>
    <n v="0"/>
    <n v="0"/>
    <n v="0"/>
    <n v="0"/>
    <n v="0"/>
    <n v="0"/>
    <n v="0"/>
    <m/>
    <n v="62.8"/>
  </r>
  <r>
    <x v="267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x v="268"/>
    <d v="2025-01-06T00:00:00"/>
    <x v="0"/>
    <s v="East"/>
    <s v="Mobile"/>
    <s v="Referral"/>
    <s v="Free"/>
    <n v="0"/>
    <n v="0"/>
    <n v="0"/>
    <n v="0"/>
    <n v="0"/>
    <n v="0"/>
    <n v="0"/>
    <m/>
    <n v="50"/>
  </r>
  <r>
    <x v="269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x v="270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x v="271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x v="272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x v="273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x v="274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x v="275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x v="276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x v="277"/>
    <d v="2025-01-19T00:00:00"/>
    <x v="0"/>
    <s v="North"/>
    <s v="Mobile"/>
    <s v="Email"/>
    <s v="Free"/>
    <n v="1"/>
    <n v="1"/>
    <n v="0"/>
    <n v="0"/>
    <n v="0"/>
    <n v="0"/>
    <n v="0"/>
    <m/>
    <n v="74.5"/>
  </r>
  <r>
    <x v="278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x v="279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x v="280"/>
    <d v="2025-04-04T00:00:00"/>
    <x v="0"/>
    <s v="North"/>
    <s v="Desktop"/>
    <s v="Organic"/>
    <s v="Free"/>
    <n v="1"/>
    <n v="0"/>
    <n v="0"/>
    <n v="0"/>
    <n v="0"/>
    <n v="0"/>
    <n v="0"/>
    <m/>
    <n v="56"/>
  </r>
  <r>
    <x v="281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x v="282"/>
    <d v="2025-01-21T00:00:00"/>
    <x v="0"/>
    <s v="South"/>
    <s v="Mobile"/>
    <s v="Social"/>
    <s v="Free"/>
    <n v="1"/>
    <n v="0"/>
    <n v="0"/>
    <n v="0"/>
    <n v="0"/>
    <n v="1"/>
    <n v="0"/>
    <m/>
    <n v="70.5"/>
  </r>
  <r>
    <x v="283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x v="284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x v="285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x v="286"/>
    <d v="2025-05-31T00:00:00"/>
    <x v="0"/>
    <s v="East"/>
    <s v="Mobile"/>
    <s v="Social"/>
    <s v="Free"/>
    <n v="1"/>
    <n v="0"/>
    <n v="0"/>
    <n v="0"/>
    <n v="0"/>
    <n v="0"/>
    <n v="0"/>
    <m/>
    <n v="41.9"/>
  </r>
  <r>
    <x v="287"/>
    <d v="2025-02-07T00:00:00"/>
    <x v="0"/>
    <s v="West"/>
    <s v="Mobile"/>
    <s v="Email"/>
    <s v="Basic"/>
    <n v="1"/>
    <n v="0"/>
    <n v="0"/>
    <n v="0"/>
    <n v="0"/>
    <n v="0"/>
    <n v="0"/>
    <m/>
    <n v="70.2"/>
  </r>
  <r>
    <x v="288"/>
    <d v="2025-02-10T00:00:00"/>
    <x v="0"/>
    <s v="North"/>
    <s v="Mobile"/>
    <s v="Social"/>
    <s v="Free"/>
    <n v="1"/>
    <n v="0"/>
    <n v="0"/>
    <n v="0"/>
    <n v="0"/>
    <n v="0"/>
    <n v="0"/>
    <m/>
    <n v="42.6"/>
  </r>
  <r>
    <x v="289"/>
    <d v="2025-01-31T00:00:00"/>
    <x v="0"/>
    <s v="West"/>
    <s v="Mobile"/>
    <s v="Social"/>
    <s v="Basic"/>
    <n v="0"/>
    <n v="0"/>
    <n v="0"/>
    <n v="0"/>
    <n v="0"/>
    <n v="2"/>
    <n v="0"/>
    <m/>
    <n v="30.4"/>
  </r>
  <r>
    <x v="290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x v="291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x v="292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x v="293"/>
    <d v="2025-02-16T00:00:00"/>
    <x v="0"/>
    <s v="West"/>
    <s v="Desktop"/>
    <s v="Email"/>
    <s v="Free"/>
    <n v="1"/>
    <n v="0"/>
    <n v="0"/>
    <n v="0"/>
    <n v="0"/>
    <n v="0"/>
    <n v="0"/>
    <m/>
    <n v="40.6"/>
  </r>
  <r>
    <x v="294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x v="295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x v="296"/>
    <d v="2025-04-13T00:00:00"/>
    <x v="0"/>
    <s v="West"/>
    <s v="Mobile"/>
    <s v="Social"/>
    <s v="Basic"/>
    <n v="1"/>
    <n v="1"/>
    <n v="0"/>
    <n v="0"/>
    <n v="0"/>
    <n v="1"/>
    <n v="0"/>
    <m/>
    <n v="54.8"/>
  </r>
  <r>
    <x v="297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x v="298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x v="299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x v="300"/>
    <d v="2025-05-09T00:00:00"/>
    <x v="0"/>
    <s v="North"/>
    <s v="Mobile"/>
    <s v="Email"/>
    <s v="Basic"/>
    <n v="1"/>
    <n v="1"/>
    <n v="1"/>
    <n v="0"/>
    <n v="0"/>
    <n v="1"/>
    <n v="0"/>
    <m/>
    <n v="60.5"/>
  </r>
  <r>
    <x v="301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x v="302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x v="303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x v="304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x v="305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x v="306"/>
    <d v="2025-02-02T00:00:00"/>
    <x v="0"/>
    <s v="North"/>
    <s v="Mobile"/>
    <s v="Social"/>
    <s v="Free"/>
    <n v="1"/>
    <n v="0"/>
    <n v="0"/>
    <n v="0"/>
    <n v="0"/>
    <n v="0"/>
    <n v="0"/>
    <m/>
    <n v="44.9"/>
  </r>
  <r>
    <x v="307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x v="308"/>
    <d v="2025-05-01T00:00:00"/>
    <x v="0"/>
    <s v="South"/>
    <s v="Desktop"/>
    <s v="Email"/>
    <s v="Free"/>
    <n v="0"/>
    <n v="0"/>
    <n v="0"/>
    <n v="0"/>
    <n v="0"/>
    <n v="0"/>
    <n v="0"/>
    <m/>
    <n v="70"/>
  </r>
  <r>
    <x v="309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x v="310"/>
    <d v="2025-03-08T00:00:00"/>
    <x v="0"/>
    <s v="West"/>
    <s v="Mobile"/>
    <s v="Organic"/>
    <s v="Free"/>
    <n v="0"/>
    <n v="0"/>
    <n v="0"/>
    <n v="0"/>
    <n v="0"/>
    <n v="0"/>
    <n v="0"/>
    <m/>
    <n v="71.2"/>
  </r>
  <r>
    <x v="311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x v="312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x v="313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x v="314"/>
    <d v="2025-01-20T00:00:00"/>
    <x v="0"/>
    <s v="East"/>
    <s v="Mobile"/>
    <s v="Organic"/>
    <s v="Free"/>
    <n v="1"/>
    <n v="1"/>
    <n v="1"/>
    <n v="0"/>
    <n v="0"/>
    <n v="0"/>
    <n v="0"/>
    <m/>
    <n v="53.6"/>
  </r>
  <r>
    <x v="315"/>
    <d v="2025-05-01T00:00:00"/>
    <x v="0"/>
    <s v="East"/>
    <s v="Mobile"/>
    <s v="Email"/>
    <s v="Free"/>
    <n v="0"/>
    <n v="0"/>
    <n v="0"/>
    <n v="0"/>
    <n v="0"/>
    <n v="0"/>
    <n v="0"/>
    <m/>
    <n v="54.9"/>
  </r>
  <r>
    <x v="316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x v="317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x v="318"/>
    <d v="2025-05-03T00:00:00"/>
    <x v="0"/>
    <s v="North"/>
    <s v="Mobile"/>
    <s v="Organic"/>
    <s v="Free"/>
    <n v="1"/>
    <n v="0"/>
    <n v="0"/>
    <n v="0"/>
    <n v="0"/>
    <n v="0"/>
    <n v="0"/>
    <m/>
    <n v="80"/>
  </r>
  <r>
    <x v="319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x v="320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x v="321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x v="322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x v="323"/>
    <d v="2025-03-18T00:00:00"/>
    <x v="0"/>
    <s v="East"/>
    <s v="Mobile"/>
    <s v="Social"/>
    <s v="Free"/>
    <n v="1"/>
    <n v="1"/>
    <n v="1"/>
    <n v="0"/>
    <n v="0"/>
    <n v="0"/>
    <n v="0"/>
    <m/>
    <n v="61.3"/>
  </r>
  <r>
    <x v="324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x v="325"/>
    <d v="2025-04-02T00:00:00"/>
    <x v="0"/>
    <s v="West"/>
    <s v="Mobile"/>
    <s v="Email"/>
    <s v="Premium"/>
    <n v="1"/>
    <n v="1"/>
    <n v="1"/>
    <n v="0"/>
    <n v="0"/>
    <n v="0"/>
    <n v="0"/>
    <m/>
    <n v="84"/>
  </r>
  <r>
    <x v="326"/>
    <d v="2025-05-10T00:00:00"/>
    <x v="0"/>
    <s v="West"/>
    <s v="Desktop"/>
    <s v="Email"/>
    <s v="Basic"/>
    <n v="0"/>
    <n v="0"/>
    <n v="0"/>
    <n v="0"/>
    <n v="0"/>
    <n v="0"/>
    <n v="0"/>
    <m/>
    <n v="59.8"/>
  </r>
  <r>
    <x v="327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x v="328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x v="329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x v="330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x v="331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x v="332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x v="333"/>
    <d v="2025-01-10T00:00:00"/>
    <x v="0"/>
    <s v="West"/>
    <s v="Tablet"/>
    <s v="Social"/>
    <s v="Free"/>
    <n v="1"/>
    <n v="0"/>
    <n v="0"/>
    <n v="0"/>
    <n v="0"/>
    <n v="0"/>
    <n v="0"/>
    <m/>
    <n v="30.8"/>
  </r>
  <r>
    <x v="334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x v="335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x v="336"/>
    <d v="2025-04-13T00:00:00"/>
    <x v="0"/>
    <s v="West"/>
    <s v="Mobile"/>
    <s v="Organic"/>
    <s v="Free"/>
    <n v="0"/>
    <n v="0"/>
    <n v="0"/>
    <n v="0"/>
    <n v="0"/>
    <n v="0"/>
    <n v="0"/>
    <m/>
    <n v="40.4"/>
  </r>
  <r>
    <x v="337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x v="338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x v="339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x v="340"/>
    <d v="2025-05-08T00:00:00"/>
    <x v="0"/>
    <s v="West"/>
    <s v="Tablet"/>
    <s v="Organic"/>
    <s v="Free"/>
    <n v="0"/>
    <n v="0"/>
    <n v="0"/>
    <n v="0"/>
    <n v="0"/>
    <n v="0"/>
    <n v="0"/>
    <m/>
    <n v="61.4"/>
  </r>
  <r>
    <x v="341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x v="342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x v="343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x v="344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x v="345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x v="346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x v="347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x v="348"/>
    <d v="2025-04-17T00:00:00"/>
    <x v="0"/>
    <s v="East"/>
    <s v="Mobile"/>
    <s v="Organic"/>
    <s v="Free"/>
    <n v="0"/>
    <n v="0"/>
    <n v="0"/>
    <n v="0"/>
    <n v="0"/>
    <n v="0"/>
    <n v="0"/>
    <m/>
    <n v="56"/>
  </r>
  <r>
    <x v="349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x v="350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x v="351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x v="352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x v="353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x v="354"/>
    <d v="2025-05-16T00:00:00"/>
    <x v="0"/>
    <s v="East"/>
    <s v="Mobile"/>
    <s v="Email"/>
    <s v="Free"/>
    <n v="1"/>
    <n v="1"/>
    <n v="0"/>
    <n v="0"/>
    <n v="0"/>
    <n v="0"/>
    <n v="0"/>
    <m/>
    <n v="91.7"/>
  </r>
  <r>
    <x v="355"/>
    <d v="2025-03-24T00:00:00"/>
    <x v="0"/>
    <s v="West"/>
    <s v="Mobile"/>
    <s v="Social"/>
    <s v="Free"/>
    <n v="0"/>
    <n v="0"/>
    <n v="0"/>
    <n v="0"/>
    <n v="0"/>
    <n v="0"/>
    <n v="0"/>
    <m/>
    <n v="46"/>
  </r>
  <r>
    <x v="356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x v="357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x v="358"/>
    <d v="2025-04-21T00:00:00"/>
    <x v="0"/>
    <s v="South"/>
    <s v="Mobile"/>
    <s v="Organic"/>
    <s v="Basic"/>
    <n v="1"/>
    <n v="1"/>
    <n v="1"/>
    <n v="0"/>
    <n v="0"/>
    <n v="0"/>
    <n v="0"/>
    <m/>
    <n v="63"/>
  </r>
  <r>
    <x v="359"/>
    <d v="2025-01-11T00:00:00"/>
    <x v="0"/>
    <s v="West"/>
    <s v="Mobile"/>
    <s v="Organic"/>
    <s v="Free"/>
    <n v="0"/>
    <n v="0"/>
    <n v="0"/>
    <n v="0"/>
    <n v="0"/>
    <n v="0"/>
    <n v="0"/>
    <m/>
    <n v="28.4"/>
  </r>
  <r>
    <x v="360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x v="361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x v="362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x v="363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x v="364"/>
    <d v="2025-01-08T00:00:00"/>
    <x v="0"/>
    <s v="East"/>
    <s v="Desktop"/>
    <s v="Social"/>
    <s v="Free"/>
    <n v="1"/>
    <n v="0"/>
    <n v="0"/>
    <n v="0"/>
    <n v="0"/>
    <n v="0"/>
    <n v="0"/>
    <m/>
    <n v="56.4"/>
  </r>
  <r>
    <x v="365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x v="366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x v="367"/>
    <d v="2025-02-25T00:00:00"/>
    <x v="0"/>
    <s v="South"/>
    <s v="Tablet"/>
    <s v="Organic"/>
    <s v="Free"/>
    <n v="0"/>
    <n v="0"/>
    <n v="0"/>
    <n v="0"/>
    <n v="0"/>
    <n v="0"/>
    <n v="0"/>
    <m/>
    <n v="58"/>
  </r>
  <r>
    <x v="368"/>
    <d v="2025-04-14T00:00:00"/>
    <x v="0"/>
    <s v="South"/>
    <s v="Mobile"/>
    <s v="Referral"/>
    <s v="Free"/>
    <n v="1"/>
    <n v="1"/>
    <n v="1"/>
    <n v="0"/>
    <n v="0"/>
    <n v="0"/>
    <n v="0"/>
    <m/>
    <n v="69"/>
  </r>
  <r>
    <x v="369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x v="370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x v="371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x v="372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x v="373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x v="374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x v="375"/>
    <d v="2025-03-14T00:00:00"/>
    <x v="0"/>
    <s v="West"/>
    <s v="Mobile"/>
    <s v="Organic"/>
    <s v="Free"/>
    <n v="1"/>
    <n v="1"/>
    <n v="0"/>
    <n v="0"/>
    <n v="0"/>
    <n v="0"/>
    <n v="0"/>
    <m/>
    <n v="43.4"/>
  </r>
  <r>
    <x v="376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x v="377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x v="378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x v="379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x v="380"/>
    <d v="2025-03-23T00:00:00"/>
    <x v="0"/>
    <s v="West"/>
    <s v="Mobile"/>
    <s v="Social"/>
    <s v="Free"/>
    <n v="1"/>
    <n v="1"/>
    <n v="1"/>
    <n v="0"/>
    <n v="0"/>
    <n v="0"/>
    <n v="0"/>
    <m/>
    <n v="76"/>
  </r>
  <r>
    <x v="381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x v="382"/>
    <d v="2025-04-30T00:00:00"/>
    <x v="0"/>
    <s v="East"/>
    <s v="Mobile"/>
    <s v="Organic"/>
    <s v="Free"/>
    <n v="1"/>
    <n v="0"/>
    <n v="0"/>
    <n v="0"/>
    <n v="0"/>
    <n v="0"/>
    <n v="0"/>
    <m/>
    <n v="54.1"/>
  </r>
  <r>
    <x v="383"/>
    <d v="2025-03-07T00:00:00"/>
    <x v="0"/>
    <s v="West"/>
    <s v="Mobile"/>
    <s v="Social"/>
    <s v="Basic"/>
    <n v="1"/>
    <n v="0"/>
    <n v="0"/>
    <n v="0"/>
    <n v="0"/>
    <n v="0"/>
    <n v="0"/>
    <m/>
    <n v="82.4"/>
  </r>
  <r>
    <x v="384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x v="385"/>
    <d v="2025-05-22T00:00:00"/>
    <x v="0"/>
    <s v="East"/>
    <s v="Mobile"/>
    <s v="Organic"/>
    <s v="Free"/>
    <n v="0"/>
    <n v="0"/>
    <n v="0"/>
    <n v="0"/>
    <n v="0"/>
    <n v="2"/>
    <n v="0"/>
    <m/>
    <n v="38"/>
  </r>
  <r>
    <x v="386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x v="387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x v="388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x v="389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x v="390"/>
    <d v="2025-02-13T00:00:00"/>
    <x v="0"/>
    <s v="East"/>
    <s v="Mobile"/>
    <s v="Organic"/>
    <s v="Free"/>
    <n v="0"/>
    <n v="0"/>
    <n v="0"/>
    <n v="0"/>
    <n v="0"/>
    <n v="0"/>
    <n v="0"/>
    <m/>
    <n v="48.1"/>
  </r>
  <r>
    <x v="391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x v="392"/>
    <d v="2025-02-24T00:00:00"/>
    <x v="0"/>
    <s v="North"/>
    <s v="Mobile"/>
    <s v="Referral"/>
    <s v="Free"/>
    <n v="0"/>
    <n v="0"/>
    <n v="0"/>
    <n v="0"/>
    <n v="0"/>
    <n v="0"/>
    <n v="0"/>
    <m/>
    <n v="64"/>
  </r>
  <r>
    <x v="393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x v="394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x v="395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x v="396"/>
    <d v="2025-01-09T00:00:00"/>
    <x v="0"/>
    <s v="South"/>
    <s v="Desktop"/>
    <s v="Organic"/>
    <s v="Free"/>
    <n v="1"/>
    <n v="1"/>
    <n v="0"/>
    <n v="0"/>
    <n v="0"/>
    <n v="0"/>
    <n v="0"/>
    <m/>
    <n v="63"/>
  </r>
  <r>
    <x v="397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x v="398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x v="399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x v="400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x v="401"/>
    <d v="2025-01-22T00:00:00"/>
    <x v="0"/>
    <s v="North"/>
    <s v="Mobile"/>
    <s v="Social"/>
    <s v="Basic"/>
    <n v="0"/>
    <n v="0"/>
    <n v="0"/>
    <n v="0"/>
    <n v="0"/>
    <n v="0"/>
    <n v="0"/>
    <m/>
    <n v="56"/>
  </r>
  <r>
    <x v="402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x v="403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x v="404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x v="405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x v="406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x v="407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x v="408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x v="409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x v="410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x v="411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x v="412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x v="413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x v="414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x v="415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x v="416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x v="417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x v="418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x v="419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x v="420"/>
    <d v="2025-04-15T00:00:00"/>
    <x v="0"/>
    <s v="South"/>
    <s v="Mobile"/>
    <s v="Email"/>
    <s v="Free"/>
    <n v="1"/>
    <n v="0"/>
    <n v="0"/>
    <n v="0"/>
    <n v="0"/>
    <n v="0"/>
    <n v="0"/>
    <m/>
    <n v="39.1"/>
  </r>
  <r>
    <x v="421"/>
    <d v="2025-04-20T00:00:00"/>
    <x v="0"/>
    <s v="East"/>
    <s v="Desktop"/>
    <s v="Social"/>
    <s v="Free"/>
    <n v="1"/>
    <n v="0"/>
    <n v="0"/>
    <n v="0"/>
    <n v="0"/>
    <n v="0"/>
    <n v="0"/>
    <m/>
    <n v="42.6"/>
  </r>
  <r>
    <x v="422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x v="423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x v="424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x v="425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x v="426"/>
    <d v="2025-02-12T00:00:00"/>
    <x v="0"/>
    <s v="East"/>
    <s v="Mobile"/>
    <s v="Organic"/>
    <s v="Free"/>
    <n v="0"/>
    <n v="0"/>
    <n v="0"/>
    <n v="0"/>
    <n v="0"/>
    <n v="2"/>
    <n v="0"/>
    <m/>
    <n v="44.4"/>
  </r>
  <r>
    <x v="427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x v="428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x v="429"/>
    <d v="2025-01-30T00:00:00"/>
    <x v="0"/>
    <s v="West"/>
    <s v="Mobile"/>
    <s v="Social"/>
    <s v="Free"/>
    <n v="0"/>
    <n v="0"/>
    <n v="0"/>
    <n v="0"/>
    <n v="0"/>
    <n v="0"/>
    <n v="0"/>
    <m/>
    <n v="60.4"/>
  </r>
  <r>
    <x v="430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x v="431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x v="432"/>
    <d v="2025-02-03T00:00:00"/>
    <x v="0"/>
    <s v="North"/>
    <s v="Tablet"/>
    <s v="Email"/>
    <s v="Basic"/>
    <n v="1"/>
    <n v="0"/>
    <n v="0"/>
    <n v="0"/>
    <n v="0"/>
    <n v="0"/>
    <n v="0"/>
    <m/>
    <n v="60.9"/>
  </r>
  <r>
    <x v="433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x v="434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x v="435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x v="436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x v="437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x v="438"/>
    <d v="2025-05-22T00:00:00"/>
    <x v="0"/>
    <s v="West"/>
    <s v="Desktop"/>
    <s v="Email"/>
    <s v="Basic"/>
    <n v="0"/>
    <n v="0"/>
    <n v="0"/>
    <n v="0"/>
    <n v="0"/>
    <n v="0"/>
    <n v="0"/>
    <m/>
    <n v="49.2"/>
  </r>
  <r>
    <x v="439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x v="440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x v="441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x v="442"/>
    <d v="2025-04-25T00:00:00"/>
    <x v="0"/>
    <s v="South"/>
    <s v="Mobile"/>
    <s v="Social"/>
    <s v="Free"/>
    <n v="1"/>
    <n v="0"/>
    <n v="0"/>
    <n v="0"/>
    <n v="0"/>
    <n v="0"/>
    <n v="0"/>
    <m/>
    <n v="44.5"/>
  </r>
  <r>
    <x v="443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x v="444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x v="445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x v="446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x v="447"/>
    <d v="2025-04-09T00:00:00"/>
    <x v="0"/>
    <s v="East"/>
    <s v="Mobile"/>
    <s v="Organic"/>
    <s v="Free"/>
    <n v="1"/>
    <n v="0"/>
    <n v="0"/>
    <n v="0"/>
    <n v="0"/>
    <n v="0"/>
    <n v="0"/>
    <m/>
    <n v="68.8"/>
  </r>
  <r>
    <x v="448"/>
    <d v="2025-01-11T00:00:00"/>
    <x v="0"/>
    <s v="West"/>
    <s v="Mobile"/>
    <s v="Organic"/>
    <s v="Free"/>
    <n v="1"/>
    <n v="1"/>
    <n v="1"/>
    <n v="0"/>
    <n v="0"/>
    <n v="0"/>
    <n v="0"/>
    <m/>
    <n v="59.2"/>
  </r>
  <r>
    <x v="449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x v="450"/>
    <d v="2025-02-17T00:00:00"/>
    <x v="0"/>
    <s v="North"/>
    <s v="Tablet"/>
    <s v="Social"/>
    <s v="Free"/>
    <n v="1"/>
    <n v="1"/>
    <n v="1"/>
    <n v="0"/>
    <n v="0"/>
    <n v="0"/>
    <n v="0"/>
    <m/>
    <n v="56.9"/>
  </r>
  <r>
    <x v="451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x v="452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x v="453"/>
    <d v="2025-04-21T00:00:00"/>
    <x v="0"/>
    <s v="North"/>
    <s v="Mobile"/>
    <s v="Social"/>
    <s v="Free"/>
    <n v="1"/>
    <n v="0"/>
    <n v="0"/>
    <n v="0"/>
    <n v="0"/>
    <n v="0"/>
    <n v="0"/>
    <m/>
    <n v="52.2"/>
  </r>
  <r>
    <x v="454"/>
    <d v="2025-02-25T00:00:00"/>
    <x v="0"/>
    <s v="South"/>
    <s v="Tablet"/>
    <m/>
    <s v="Free"/>
    <n v="0"/>
    <n v="0"/>
    <n v="0"/>
    <n v="0"/>
    <n v="0"/>
    <n v="0"/>
    <n v="0"/>
    <m/>
    <n v="51.5"/>
  </r>
  <r>
    <x v="455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x v="456"/>
    <d v="2025-03-10T00:00:00"/>
    <x v="0"/>
    <s v="North"/>
    <s v="Mobile"/>
    <s v="Email"/>
    <s v="Basic"/>
    <n v="1"/>
    <n v="0"/>
    <n v="0"/>
    <n v="0"/>
    <n v="0"/>
    <n v="1"/>
    <n v="0"/>
    <m/>
    <n v="35.4"/>
  </r>
  <r>
    <x v="457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x v="458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x v="459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x v="460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x v="461"/>
    <d v="2025-05-19T00:00:00"/>
    <x v="0"/>
    <s v="North"/>
    <m/>
    <s v="Organic"/>
    <s v="Basic"/>
    <n v="1"/>
    <n v="0"/>
    <n v="0"/>
    <n v="0"/>
    <n v="0"/>
    <n v="0"/>
    <n v="0"/>
    <m/>
    <n v="50.5"/>
  </r>
  <r>
    <x v="462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x v="463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x v="464"/>
    <d v="2025-04-12T00:00:00"/>
    <x v="0"/>
    <s v="North"/>
    <s v="Mobile"/>
    <m/>
    <s v="Free"/>
    <n v="0"/>
    <n v="0"/>
    <n v="0"/>
    <n v="0"/>
    <n v="0"/>
    <n v="0"/>
    <n v="0"/>
    <m/>
    <n v="56.5"/>
  </r>
  <r>
    <x v="465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x v="466"/>
    <d v="2025-02-13T00:00:00"/>
    <x v="0"/>
    <s v="West"/>
    <s v="Mobile"/>
    <s v="Organic"/>
    <s v="Basic"/>
    <n v="0"/>
    <n v="0"/>
    <n v="0"/>
    <n v="0"/>
    <n v="0"/>
    <n v="0"/>
    <n v="0"/>
    <m/>
    <n v="6.2"/>
  </r>
  <r>
    <x v="467"/>
    <d v="2025-05-21T00:00:00"/>
    <x v="0"/>
    <s v="East"/>
    <s v="Desktop"/>
    <s v="Email"/>
    <s v="Free"/>
    <n v="1"/>
    <n v="1"/>
    <n v="1"/>
    <n v="0"/>
    <n v="0"/>
    <n v="0"/>
    <n v="0"/>
    <m/>
    <n v="54.3"/>
  </r>
  <r>
    <x v="468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x v="469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x v="470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x v="471"/>
    <d v="2025-03-07T00:00:00"/>
    <x v="0"/>
    <s v="West"/>
    <s v="Mobile"/>
    <s v="Organic"/>
    <s v="Free"/>
    <n v="0"/>
    <n v="0"/>
    <n v="0"/>
    <n v="0"/>
    <n v="0"/>
    <n v="0"/>
    <n v="0"/>
    <m/>
    <n v="67.8"/>
  </r>
  <r>
    <x v="472"/>
    <d v="2025-04-23T00:00:00"/>
    <x v="0"/>
    <s v="South"/>
    <s v="Mobile"/>
    <s v="Social"/>
    <s v="Free"/>
    <n v="0"/>
    <n v="0"/>
    <n v="0"/>
    <n v="0"/>
    <n v="0"/>
    <n v="0"/>
    <n v="0"/>
    <m/>
    <n v="48.7"/>
  </r>
  <r>
    <x v="473"/>
    <d v="2025-03-08T00:00:00"/>
    <x v="0"/>
    <s v="East"/>
    <s v="Mobile"/>
    <s v="Organic"/>
    <s v="Basic"/>
    <n v="0"/>
    <n v="0"/>
    <n v="0"/>
    <n v="0"/>
    <n v="0"/>
    <n v="0"/>
    <n v="0"/>
    <m/>
    <n v="59"/>
  </r>
  <r>
    <x v="474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x v="475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x v="476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x v="477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x v="478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x v="479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x v="480"/>
    <d v="2025-05-20T00:00:00"/>
    <x v="0"/>
    <s v="West"/>
    <s v="Tablet"/>
    <s v="Referral"/>
    <s v="Free"/>
    <n v="1"/>
    <n v="1"/>
    <n v="1"/>
    <n v="0"/>
    <n v="0"/>
    <n v="0"/>
    <n v="0"/>
    <m/>
    <n v="100"/>
  </r>
  <r>
    <x v="481"/>
    <d v="2025-02-13T00:00:00"/>
    <x v="0"/>
    <s v="North"/>
    <m/>
    <s v="Organic"/>
    <s v="Basic"/>
    <n v="1"/>
    <n v="1"/>
    <n v="1"/>
    <n v="0"/>
    <n v="0"/>
    <n v="0"/>
    <n v="0"/>
    <m/>
    <n v="50.4"/>
  </r>
  <r>
    <x v="482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x v="483"/>
    <d v="2025-04-07T00:00:00"/>
    <x v="0"/>
    <s v="North"/>
    <s v="Mobile"/>
    <s v="Email"/>
    <s v="Free"/>
    <n v="0"/>
    <n v="0"/>
    <n v="0"/>
    <n v="0"/>
    <n v="0"/>
    <n v="0"/>
    <n v="0"/>
    <m/>
    <n v="86.2"/>
  </r>
  <r>
    <x v="484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x v="485"/>
    <d v="2025-02-07T00:00:00"/>
    <x v="0"/>
    <s v="West"/>
    <s v="Mobile"/>
    <s v="Organic"/>
    <s v="Free"/>
    <n v="1"/>
    <n v="0"/>
    <n v="0"/>
    <n v="0"/>
    <n v="0"/>
    <n v="0"/>
    <n v="0"/>
    <m/>
    <n v="50.9"/>
  </r>
  <r>
    <x v="486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x v="487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x v="488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x v="489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x v="490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x v="491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x v="492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x v="493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x v="494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x v="495"/>
    <d v="2025-05-05T00:00:00"/>
    <x v="0"/>
    <s v="South"/>
    <s v="Mobile"/>
    <s v="Email"/>
    <s v="Basic"/>
    <n v="0"/>
    <n v="0"/>
    <n v="0"/>
    <n v="0"/>
    <n v="0"/>
    <n v="1"/>
    <n v="0"/>
    <m/>
    <n v="60.8"/>
  </r>
  <r>
    <x v="496"/>
    <d v="2025-04-16T00:00:00"/>
    <x v="0"/>
    <s v="East"/>
    <s v="Mobile"/>
    <s v="Email"/>
    <s v="Basic"/>
    <n v="0"/>
    <n v="0"/>
    <n v="0"/>
    <n v="0"/>
    <n v="0"/>
    <n v="1"/>
    <n v="0"/>
    <m/>
    <n v="50.5"/>
  </r>
  <r>
    <x v="497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x v="498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x v="499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x v="500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x v="501"/>
    <d v="2025-03-06T00:00:00"/>
    <x v="0"/>
    <s v="North"/>
    <s v="Mobile"/>
    <s v="Email"/>
    <s v="Free"/>
    <n v="0"/>
    <n v="0"/>
    <n v="0"/>
    <n v="0"/>
    <n v="0"/>
    <n v="0"/>
    <n v="0"/>
    <m/>
    <n v="61.4"/>
  </r>
  <r>
    <x v="502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x v="503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x v="504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x v="505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x v="506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x v="507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x v="508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x v="509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x v="510"/>
    <d v="2025-02-11T00:00:00"/>
    <x v="0"/>
    <s v="North"/>
    <s v="Mobile"/>
    <s v="Social"/>
    <s v="Free"/>
    <n v="1"/>
    <n v="1"/>
    <n v="0"/>
    <n v="0"/>
    <n v="0"/>
    <n v="0"/>
    <n v="0"/>
    <m/>
    <n v="56.9"/>
  </r>
  <r>
    <x v="511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x v="512"/>
    <d v="2025-02-13T00:00:00"/>
    <x v="0"/>
    <s v="South"/>
    <s v="Mobile"/>
    <m/>
    <s v="Free"/>
    <n v="1"/>
    <n v="1"/>
    <n v="0"/>
    <n v="0"/>
    <n v="0"/>
    <n v="0"/>
    <n v="0"/>
    <m/>
    <n v="31.4"/>
  </r>
  <r>
    <x v="513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x v="514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x v="515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x v="516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x v="517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x v="518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x v="519"/>
    <d v="2025-05-16T00:00:00"/>
    <x v="0"/>
    <s v="West"/>
    <s v="Desktop"/>
    <s v="Referral"/>
    <s v="Free"/>
    <n v="0"/>
    <n v="0"/>
    <n v="0"/>
    <n v="0"/>
    <n v="0"/>
    <n v="0"/>
    <n v="0"/>
    <m/>
    <n v="54"/>
  </r>
  <r>
    <x v="520"/>
    <d v="2025-03-17T00:00:00"/>
    <x v="0"/>
    <s v="West"/>
    <s v="Mobile"/>
    <s v="Organic"/>
    <s v="Free"/>
    <n v="1"/>
    <n v="0"/>
    <n v="0"/>
    <n v="0"/>
    <n v="0"/>
    <n v="0"/>
    <n v="0"/>
    <m/>
    <n v="66.3"/>
  </r>
  <r>
    <x v="521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x v="522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x v="523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x v="524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x v="525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x v="526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x v="527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x v="528"/>
    <d v="2025-05-14T00:00:00"/>
    <x v="0"/>
    <s v="East"/>
    <s v="Tablet"/>
    <s v="Social"/>
    <s v="Free"/>
    <n v="1"/>
    <n v="0"/>
    <n v="0"/>
    <n v="0"/>
    <n v="0"/>
    <n v="0"/>
    <n v="0"/>
    <m/>
    <n v="35.4"/>
  </r>
  <r>
    <x v="529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x v="530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x v="531"/>
    <d v="2025-02-13T00:00:00"/>
    <x v="0"/>
    <s v="West"/>
    <s v="Mobile"/>
    <s v="Organic"/>
    <s v="Free"/>
    <n v="1"/>
    <n v="0"/>
    <n v="0"/>
    <n v="0"/>
    <n v="0"/>
    <n v="0"/>
    <n v="0"/>
    <m/>
    <n v="84.3"/>
  </r>
  <r>
    <x v="532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x v="533"/>
    <d v="2025-03-08T00:00:00"/>
    <x v="0"/>
    <s v="East"/>
    <s v="Mobile"/>
    <s v="Email"/>
    <s v="Free"/>
    <n v="1"/>
    <n v="0"/>
    <n v="0"/>
    <n v="0"/>
    <n v="0"/>
    <n v="0"/>
    <n v="0"/>
    <m/>
    <n v="47.1"/>
  </r>
  <r>
    <x v="534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x v="535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x v="536"/>
    <d v="2025-03-10T00:00:00"/>
    <x v="0"/>
    <s v="West"/>
    <s v="Tablet"/>
    <s v="Social"/>
    <s v="Basic"/>
    <n v="1"/>
    <n v="1"/>
    <n v="0"/>
    <n v="0"/>
    <n v="0"/>
    <n v="1"/>
    <n v="0"/>
    <m/>
    <n v="65.2"/>
  </r>
  <r>
    <x v="537"/>
    <d v="2025-01-25T00:00:00"/>
    <x v="0"/>
    <s v="East"/>
    <s v="Mobile"/>
    <s v="Social"/>
    <s v="Free"/>
    <n v="1"/>
    <n v="0"/>
    <n v="0"/>
    <n v="0"/>
    <n v="0"/>
    <n v="0"/>
    <n v="0"/>
    <m/>
    <n v="65"/>
  </r>
  <r>
    <x v="538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x v="539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x v="540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x v="541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x v="542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x v="543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x v="544"/>
    <d v="2025-01-01T00:00:00"/>
    <x v="0"/>
    <s v="South"/>
    <s v="Desktop"/>
    <s v="Social"/>
    <s v="Basic"/>
    <n v="0"/>
    <n v="0"/>
    <n v="0"/>
    <n v="0"/>
    <n v="0"/>
    <n v="0"/>
    <n v="0"/>
    <m/>
    <m/>
  </r>
  <r>
    <x v="545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x v="546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x v="547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x v="548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x v="549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x v="550"/>
    <d v="2025-02-11T00:00:00"/>
    <x v="0"/>
    <s v="East"/>
    <m/>
    <s v="Social"/>
    <s v="Free"/>
    <n v="1"/>
    <n v="1"/>
    <n v="0"/>
    <n v="0"/>
    <n v="0"/>
    <n v="0"/>
    <n v="0"/>
    <m/>
    <n v="55.8"/>
  </r>
  <r>
    <x v="551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x v="552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x v="553"/>
    <d v="2025-02-24T00:00:00"/>
    <x v="0"/>
    <s v="West"/>
    <s v="Mobile"/>
    <s v="Organic"/>
    <s v="Free"/>
    <n v="1"/>
    <n v="0"/>
    <n v="0"/>
    <n v="0"/>
    <n v="0"/>
    <n v="0"/>
    <n v="0"/>
    <m/>
    <n v="89.8"/>
  </r>
  <r>
    <x v="554"/>
    <d v="2025-02-11T00:00:00"/>
    <x v="0"/>
    <s v="South"/>
    <m/>
    <s v="Organic"/>
    <s v="Free"/>
    <n v="1"/>
    <n v="1"/>
    <n v="1"/>
    <n v="0"/>
    <n v="0"/>
    <n v="0"/>
    <n v="0"/>
    <m/>
    <n v="58.3"/>
  </r>
  <r>
    <x v="555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x v="556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x v="557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x v="558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x v="559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x v="560"/>
    <d v="2025-02-20T00:00:00"/>
    <x v="0"/>
    <s v="North"/>
    <s v="Mobile"/>
    <s v="Social"/>
    <s v="Basic"/>
    <n v="1"/>
    <n v="0"/>
    <n v="0"/>
    <n v="0"/>
    <n v="0"/>
    <n v="0"/>
    <n v="0"/>
    <m/>
    <n v="25"/>
  </r>
  <r>
    <x v="561"/>
    <d v="2025-03-30T00:00:00"/>
    <x v="0"/>
    <s v="East"/>
    <s v="Mobile"/>
    <s v="Social"/>
    <s v="Basic"/>
    <n v="0"/>
    <n v="0"/>
    <n v="0"/>
    <n v="0"/>
    <n v="0"/>
    <n v="0"/>
    <n v="0"/>
    <m/>
    <n v="53.4"/>
  </r>
  <r>
    <x v="562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x v="563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x v="564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x v="565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x v="566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x v="567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x v="568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x v="569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x v="570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x v="571"/>
    <d v="2025-03-30T00:00:00"/>
    <x v="0"/>
    <s v="East"/>
    <s v="Mobile"/>
    <s v="Email"/>
    <s v="Basic"/>
    <n v="1"/>
    <n v="0"/>
    <n v="0"/>
    <n v="0"/>
    <n v="0"/>
    <n v="0"/>
    <n v="0"/>
    <m/>
    <n v="78.7"/>
  </r>
  <r>
    <x v="572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x v="573"/>
    <d v="2025-02-20T00:00:00"/>
    <x v="0"/>
    <s v="South"/>
    <s v="Mobile"/>
    <s v="Email"/>
    <s v="Free"/>
    <n v="0"/>
    <n v="0"/>
    <n v="0"/>
    <n v="0"/>
    <n v="0"/>
    <n v="2"/>
    <n v="0"/>
    <m/>
    <n v="45.1"/>
  </r>
  <r>
    <x v="574"/>
    <d v="2025-01-13T00:00:00"/>
    <x v="0"/>
    <s v="West"/>
    <s v="Mobile"/>
    <s v="Social"/>
    <s v="Free"/>
    <n v="0"/>
    <n v="0"/>
    <n v="0"/>
    <n v="0"/>
    <n v="0"/>
    <n v="0"/>
    <n v="0"/>
    <m/>
    <n v="77.5"/>
  </r>
  <r>
    <x v="575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x v="576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x v="577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x v="578"/>
    <d v="2025-03-10T00:00:00"/>
    <x v="0"/>
    <s v="West"/>
    <s v="Tablet"/>
    <s v="Organic"/>
    <s v="Free"/>
    <n v="0"/>
    <n v="0"/>
    <n v="0"/>
    <n v="0"/>
    <n v="0"/>
    <n v="0"/>
    <n v="0"/>
    <m/>
    <n v="47"/>
  </r>
  <r>
    <x v="579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x v="580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x v="581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x v="582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x v="583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x v="584"/>
    <d v="2025-01-08T00:00:00"/>
    <x v="0"/>
    <s v="North"/>
    <s v="Mobile"/>
    <s v="Social"/>
    <s v="Free"/>
    <n v="0"/>
    <n v="0"/>
    <n v="0"/>
    <n v="0"/>
    <n v="0"/>
    <n v="1"/>
    <n v="0"/>
    <m/>
    <n v="46.6"/>
  </r>
  <r>
    <x v="585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x v="586"/>
    <d v="2025-05-07T00:00:00"/>
    <x v="0"/>
    <s v="East"/>
    <s v="Tablet"/>
    <s v="Organic"/>
    <s v="Free"/>
    <n v="0"/>
    <n v="0"/>
    <n v="0"/>
    <n v="0"/>
    <n v="0"/>
    <n v="0"/>
    <n v="0"/>
    <m/>
    <n v="21.5"/>
  </r>
  <r>
    <x v="587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x v="588"/>
    <d v="2025-04-20T00:00:00"/>
    <x v="0"/>
    <s v="East"/>
    <s v="Mobile"/>
    <s v="Organic"/>
    <s v="Free"/>
    <n v="1"/>
    <n v="1"/>
    <n v="0"/>
    <n v="0"/>
    <n v="0"/>
    <n v="0"/>
    <n v="0"/>
    <m/>
    <n v="53.3"/>
  </r>
  <r>
    <x v="589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x v="590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x v="591"/>
    <d v="2025-01-29T00:00:00"/>
    <x v="0"/>
    <s v="North"/>
    <s v="Tablet"/>
    <s v="Social"/>
    <s v="Free"/>
    <n v="1"/>
    <n v="0"/>
    <n v="0"/>
    <n v="0"/>
    <n v="0"/>
    <n v="0"/>
    <n v="0"/>
    <m/>
    <n v="69.8"/>
  </r>
  <r>
    <x v="592"/>
    <d v="2025-04-19T00:00:00"/>
    <x v="0"/>
    <s v="East"/>
    <s v="Mobile"/>
    <s v="Email"/>
    <s v="Free"/>
    <n v="1"/>
    <n v="0"/>
    <n v="0"/>
    <n v="0"/>
    <n v="0"/>
    <n v="0"/>
    <n v="0"/>
    <m/>
    <n v="68.2"/>
  </r>
  <r>
    <x v="593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x v="594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x v="595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x v="596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x v="597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x v="598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x v="599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x v="600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x v="601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x v="602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x v="603"/>
    <d v="2025-05-17T00:00:00"/>
    <x v="0"/>
    <s v="North"/>
    <s v="Mobile"/>
    <s v="Email"/>
    <s v="Free"/>
    <n v="0"/>
    <n v="0"/>
    <n v="0"/>
    <n v="0"/>
    <n v="0"/>
    <n v="0"/>
    <n v="0"/>
    <m/>
    <n v="54"/>
  </r>
  <r>
    <x v="604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x v="605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x v="606"/>
    <d v="2025-04-14T00:00:00"/>
    <x v="0"/>
    <s v="West"/>
    <s v="Mobile"/>
    <s v="Organic"/>
    <s v="Free"/>
    <n v="1"/>
    <n v="0"/>
    <n v="0"/>
    <n v="0"/>
    <n v="0"/>
    <n v="0"/>
    <n v="0"/>
    <m/>
    <n v="62.7"/>
  </r>
  <r>
    <x v="607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x v="608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x v="609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x v="610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x v="611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x v="612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x v="613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x v="614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x v="615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x v="616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x v="617"/>
    <d v="2025-03-01T00:00:00"/>
    <x v="0"/>
    <s v="West"/>
    <s v="Mobile"/>
    <s v="Social"/>
    <s v="Free"/>
    <n v="1"/>
    <n v="0"/>
    <n v="0"/>
    <n v="0"/>
    <n v="0"/>
    <n v="0"/>
    <n v="0"/>
    <m/>
    <n v="54.5"/>
  </r>
  <r>
    <x v="618"/>
    <d v="2025-03-17T00:00:00"/>
    <x v="0"/>
    <s v="West"/>
    <s v="Desktop"/>
    <s v="Email"/>
    <s v="Basic"/>
    <n v="0"/>
    <n v="0"/>
    <n v="0"/>
    <n v="0"/>
    <n v="0"/>
    <n v="0"/>
    <n v="0"/>
    <m/>
    <n v="58"/>
  </r>
  <r>
    <x v="619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x v="620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x v="621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x v="622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x v="623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x v="624"/>
    <d v="2025-04-05T00:00:00"/>
    <x v="0"/>
    <s v="East"/>
    <s v="Mobile"/>
    <s v="Email"/>
    <s v="Free"/>
    <n v="1"/>
    <n v="1"/>
    <n v="0"/>
    <n v="0"/>
    <n v="0"/>
    <n v="0"/>
    <n v="0"/>
    <m/>
    <n v="72.8"/>
  </r>
  <r>
    <x v="625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x v="626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x v="627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x v="628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x v="629"/>
    <d v="2025-03-22T00:00:00"/>
    <x v="0"/>
    <s v="North"/>
    <s v="Mobile"/>
    <s v="Social"/>
    <s v="Free"/>
    <n v="0"/>
    <n v="0"/>
    <n v="0"/>
    <n v="0"/>
    <n v="0"/>
    <n v="0"/>
    <n v="0"/>
    <m/>
    <n v="45"/>
  </r>
  <r>
    <x v="630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x v="631"/>
    <d v="2025-03-16T00:00:00"/>
    <x v="0"/>
    <s v="North"/>
    <s v="Mobile"/>
    <s v="Social"/>
    <s v="Free"/>
    <n v="1"/>
    <n v="0"/>
    <n v="0"/>
    <n v="0"/>
    <n v="0"/>
    <n v="0"/>
    <n v="0"/>
    <m/>
    <m/>
  </r>
  <r>
    <x v="632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x v="633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x v="634"/>
    <d v="2025-05-26T00:00:00"/>
    <x v="0"/>
    <s v="East"/>
    <s v="Mobile"/>
    <m/>
    <s v="Premium"/>
    <n v="1"/>
    <n v="0"/>
    <n v="0"/>
    <n v="0"/>
    <n v="0"/>
    <n v="3"/>
    <n v="0"/>
    <m/>
    <n v="56"/>
  </r>
  <r>
    <x v="635"/>
    <d v="2025-01-14T00:00:00"/>
    <x v="0"/>
    <s v="West"/>
    <s v="Mobile"/>
    <s v="Organic"/>
    <s v="Free"/>
    <n v="0"/>
    <n v="0"/>
    <n v="0"/>
    <n v="0"/>
    <n v="0"/>
    <n v="0"/>
    <n v="0"/>
    <m/>
    <n v="52.5"/>
  </r>
  <r>
    <x v="636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x v="637"/>
    <d v="2025-05-12T00:00:00"/>
    <x v="0"/>
    <s v="East"/>
    <s v="Desktop"/>
    <s v="Email"/>
    <s v="Free"/>
    <n v="1"/>
    <n v="1"/>
    <n v="1"/>
    <n v="0"/>
    <n v="0"/>
    <n v="0"/>
    <n v="0"/>
    <m/>
    <n v="65.3"/>
  </r>
  <r>
    <x v="638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x v="639"/>
    <d v="2025-04-09T00:00:00"/>
    <x v="0"/>
    <s v="East"/>
    <s v="Mobile"/>
    <s v="Social"/>
    <s v="Basic"/>
    <n v="0"/>
    <n v="0"/>
    <n v="0"/>
    <n v="0"/>
    <n v="0"/>
    <n v="0"/>
    <n v="0"/>
    <m/>
    <n v="57.8"/>
  </r>
  <r>
    <x v="640"/>
    <d v="2025-05-26T00:00:00"/>
    <x v="0"/>
    <s v="North"/>
    <s v="Mobile"/>
    <s v="Social"/>
    <s v="Free"/>
    <n v="1"/>
    <n v="0"/>
    <n v="0"/>
    <n v="0"/>
    <n v="0"/>
    <n v="0"/>
    <n v="0"/>
    <m/>
    <n v="52.7"/>
  </r>
  <r>
    <x v="641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x v="642"/>
    <d v="2025-04-01T00:00:00"/>
    <x v="0"/>
    <s v="North"/>
    <s v="Desktop"/>
    <s v="Email"/>
    <s v="Basic"/>
    <n v="0"/>
    <n v="0"/>
    <n v="0"/>
    <n v="0"/>
    <n v="0"/>
    <n v="0"/>
    <n v="0"/>
    <m/>
    <n v="57"/>
  </r>
  <r>
    <x v="643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x v="644"/>
    <d v="2025-04-06T00:00:00"/>
    <x v="0"/>
    <s v="East"/>
    <s v="Tablet"/>
    <s v="Organic"/>
    <s v="Free"/>
    <n v="1"/>
    <n v="0"/>
    <n v="0"/>
    <n v="0"/>
    <n v="0"/>
    <n v="0"/>
    <n v="0"/>
    <m/>
    <n v="76.5"/>
  </r>
  <r>
    <x v="645"/>
    <d v="2025-04-17T00:00:00"/>
    <x v="0"/>
    <s v="East"/>
    <s v="Mobile"/>
    <s v="Organic"/>
    <s v="Free"/>
    <n v="1"/>
    <n v="0"/>
    <n v="0"/>
    <n v="0"/>
    <n v="0"/>
    <n v="0"/>
    <n v="0"/>
    <m/>
    <n v="32.4"/>
  </r>
  <r>
    <x v="646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x v="647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x v="648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x v="649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x v="650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x v="651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x v="652"/>
    <d v="2025-05-09T00:00:00"/>
    <x v="0"/>
    <s v="West"/>
    <s v="Mobile"/>
    <s v="Organic"/>
    <s v="Free"/>
    <n v="1"/>
    <n v="0"/>
    <n v="0"/>
    <n v="0"/>
    <n v="0"/>
    <n v="1"/>
    <n v="0"/>
    <m/>
    <n v="55.9"/>
  </r>
  <r>
    <x v="653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x v="654"/>
    <d v="2025-01-12T00:00:00"/>
    <x v="0"/>
    <s v="West"/>
    <s v="Mobile"/>
    <s v="Organic"/>
    <s v="Free"/>
    <n v="0"/>
    <n v="0"/>
    <n v="0"/>
    <n v="0"/>
    <n v="0"/>
    <n v="0"/>
    <n v="0"/>
    <m/>
    <n v="46.3"/>
  </r>
  <r>
    <x v="655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x v="656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x v="657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x v="658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x v="659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x v="660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x v="661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x v="662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x v="663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x v="664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x v="665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x v="666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x v="667"/>
    <d v="2025-01-30T00:00:00"/>
    <x v="0"/>
    <s v="South"/>
    <s v="Mobile"/>
    <s v="Social"/>
    <s v="Free"/>
    <n v="1"/>
    <n v="1"/>
    <n v="0"/>
    <n v="0"/>
    <n v="0"/>
    <n v="1"/>
    <n v="0"/>
    <m/>
    <n v="44.8"/>
  </r>
  <r>
    <x v="668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x v="669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x v="670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x v="671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x v="672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x v="673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x v="674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x v="675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x v="676"/>
    <d v="2025-05-03T00:00:00"/>
    <x v="0"/>
    <s v="West"/>
    <s v="Tablet"/>
    <s v="Organic"/>
    <s v="Free"/>
    <n v="1"/>
    <n v="0"/>
    <n v="0"/>
    <n v="0"/>
    <n v="0"/>
    <n v="0"/>
    <n v="0"/>
    <m/>
    <n v="47.5"/>
  </r>
  <r>
    <x v="677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x v="678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x v="679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x v="680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x v="681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x v="682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x v="683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x v="684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x v="685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x v="686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x v="687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x v="688"/>
    <d v="2025-05-27T00:00:00"/>
    <x v="0"/>
    <s v="North"/>
    <s v="Desktop"/>
    <m/>
    <s v="Premium"/>
    <n v="1"/>
    <n v="0"/>
    <n v="0"/>
    <n v="0"/>
    <n v="0"/>
    <n v="0"/>
    <n v="0"/>
    <m/>
    <n v="64.8"/>
  </r>
  <r>
    <x v="689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x v="690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x v="691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x v="692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x v="693"/>
    <d v="2025-03-27T00:00:00"/>
    <x v="1"/>
    <s v="North"/>
    <s v="Desktop"/>
    <s v="Social"/>
    <s v="Free"/>
    <n v="1"/>
    <n v="0"/>
    <n v="0"/>
    <n v="0"/>
    <n v="0"/>
    <n v="0"/>
    <n v="0"/>
    <m/>
    <m/>
  </r>
  <r>
    <x v="694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x v="695"/>
    <d v="2025-03-19T00:00:00"/>
    <x v="1"/>
    <s v="East"/>
    <s v="Desktop"/>
    <s v="Email"/>
    <s v="Free"/>
    <n v="1"/>
    <n v="0"/>
    <n v="0"/>
    <n v="0"/>
    <n v="0"/>
    <n v="0"/>
    <n v="0"/>
    <m/>
    <n v="45.2"/>
  </r>
  <r>
    <x v="696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x v="697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x v="698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x v="699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x v="700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x v="701"/>
    <d v="2025-05-04T00:00:00"/>
    <x v="1"/>
    <s v="South"/>
    <s v="Mobile"/>
    <s v="Social"/>
    <s v="Free"/>
    <n v="1"/>
    <n v="0"/>
    <n v="0"/>
    <n v="0"/>
    <n v="0"/>
    <n v="0"/>
    <n v="0"/>
    <m/>
    <n v="69.2"/>
  </r>
  <r>
    <x v="702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x v="703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x v="704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x v="705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x v="706"/>
    <d v="2025-01-29T00:00:00"/>
    <x v="1"/>
    <s v="North"/>
    <s v="Desktop"/>
    <s v="Organic"/>
    <s v="Basic"/>
    <n v="1"/>
    <n v="0"/>
    <n v="0"/>
    <n v="0"/>
    <n v="0"/>
    <n v="0"/>
    <n v="0"/>
    <m/>
    <m/>
  </r>
  <r>
    <x v="707"/>
    <d v="2025-05-11T00:00:00"/>
    <x v="1"/>
    <s v="South"/>
    <s v="Mobile"/>
    <s v="Email"/>
    <s v="Free"/>
    <n v="0"/>
    <n v="0"/>
    <n v="0"/>
    <n v="0"/>
    <n v="0"/>
    <n v="0"/>
    <n v="0"/>
    <m/>
    <n v="55.2"/>
  </r>
  <r>
    <x v="708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x v="709"/>
    <d v="2025-03-03T00:00:00"/>
    <x v="1"/>
    <s v="South"/>
    <s v="Mobile"/>
    <s v="Social"/>
    <s v="Free"/>
    <n v="1"/>
    <n v="1"/>
    <n v="1"/>
    <n v="0"/>
    <n v="0"/>
    <n v="1"/>
    <n v="0"/>
    <m/>
    <n v="60.1"/>
  </r>
  <r>
    <x v="710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x v="711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x v="712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x v="713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x v="714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x v="715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x v="716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x v="717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x v="718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x v="719"/>
    <d v="2025-01-17T00:00:00"/>
    <x v="1"/>
    <s v="West"/>
    <s v="Desktop"/>
    <s v="Email"/>
    <s v="Free"/>
    <n v="0"/>
    <n v="0"/>
    <n v="0"/>
    <n v="0"/>
    <n v="0"/>
    <n v="2"/>
    <n v="0"/>
    <m/>
    <n v="61.6"/>
  </r>
  <r>
    <x v="720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x v="721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x v="722"/>
    <d v="2025-03-13T00:00:00"/>
    <x v="1"/>
    <s v="South"/>
    <s v="Mobile"/>
    <m/>
    <s v="Free"/>
    <n v="0"/>
    <n v="0"/>
    <n v="0"/>
    <n v="0"/>
    <n v="0"/>
    <n v="0"/>
    <n v="0"/>
    <m/>
    <n v="57.7"/>
  </r>
  <r>
    <x v="723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x v="724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x v="725"/>
    <d v="2025-02-09T00:00:00"/>
    <x v="1"/>
    <s v="East"/>
    <s v="Mobile"/>
    <s v="Social"/>
    <s v="Free"/>
    <n v="1"/>
    <n v="1"/>
    <n v="1"/>
    <n v="0"/>
    <n v="0"/>
    <n v="0"/>
    <n v="0"/>
    <m/>
    <n v="78"/>
  </r>
  <r>
    <x v="726"/>
    <d v="2025-04-09T00:00:00"/>
    <x v="1"/>
    <s v="East"/>
    <s v="Desktop"/>
    <s v="Social"/>
    <s v="Free"/>
    <n v="1"/>
    <n v="1"/>
    <n v="0"/>
    <n v="0"/>
    <n v="0"/>
    <n v="2"/>
    <n v="0"/>
    <m/>
    <n v="59.1"/>
  </r>
  <r>
    <x v="727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x v="728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x v="729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x v="730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x v="731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x v="732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x v="733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x v="734"/>
    <d v="2025-03-28T00:00:00"/>
    <x v="1"/>
    <s v="East"/>
    <s v="Desktop"/>
    <s v="Email"/>
    <s v="Free"/>
    <n v="1"/>
    <n v="0"/>
    <n v="0"/>
    <n v="0"/>
    <n v="0"/>
    <n v="1"/>
    <n v="0"/>
    <m/>
    <n v="24.5"/>
  </r>
  <r>
    <x v="735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x v="736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x v="737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x v="738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x v="739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x v="740"/>
    <d v="2025-03-30T00:00:00"/>
    <x v="1"/>
    <s v="North"/>
    <s v="Desktop"/>
    <m/>
    <s v="Premium"/>
    <n v="1"/>
    <n v="0"/>
    <n v="0"/>
    <n v="0"/>
    <n v="0"/>
    <n v="2"/>
    <n v="0"/>
    <m/>
    <n v="53.2"/>
  </r>
  <r>
    <x v="741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x v="742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x v="743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x v="744"/>
    <d v="2025-01-04T00:00:00"/>
    <x v="1"/>
    <s v="East"/>
    <s v="Mobile"/>
    <s v="Email"/>
    <s v="Free"/>
    <n v="1"/>
    <n v="1"/>
    <n v="1"/>
    <n v="0"/>
    <n v="0"/>
    <n v="0"/>
    <n v="0"/>
    <m/>
    <n v="54.6"/>
  </r>
  <r>
    <x v="745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x v="746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x v="747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x v="748"/>
    <d v="2025-03-23T00:00:00"/>
    <x v="1"/>
    <s v="South"/>
    <s v="Desktop"/>
    <s v="Organic"/>
    <s v="Free"/>
    <n v="0"/>
    <n v="0"/>
    <n v="0"/>
    <n v="0"/>
    <n v="0"/>
    <n v="0"/>
    <n v="0"/>
    <m/>
    <n v="49"/>
  </r>
  <r>
    <x v="749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x v="750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x v="751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x v="752"/>
    <d v="2025-03-19T00:00:00"/>
    <x v="1"/>
    <s v="East"/>
    <s v="Tablet"/>
    <s v="Organic"/>
    <s v="Free"/>
    <n v="1"/>
    <n v="0"/>
    <n v="0"/>
    <n v="0"/>
    <n v="0"/>
    <n v="0"/>
    <n v="0"/>
    <m/>
    <n v="61.2"/>
  </r>
  <r>
    <x v="753"/>
    <d v="2025-04-24T00:00:00"/>
    <x v="1"/>
    <s v="East"/>
    <s v="Mobile"/>
    <s v="Organic"/>
    <s v="Free"/>
    <n v="1"/>
    <n v="0"/>
    <n v="0"/>
    <n v="0"/>
    <n v="0"/>
    <n v="1"/>
    <n v="0"/>
    <m/>
    <n v="56.4"/>
  </r>
  <r>
    <x v="754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x v="755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x v="756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x v="757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x v="758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x v="759"/>
    <d v="2025-03-15T00:00:00"/>
    <x v="1"/>
    <s v="West"/>
    <s v="Desktop"/>
    <s v="Social"/>
    <s v="Free"/>
    <n v="1"/>
    <n v="1"/>
    <n v="1"/>
    <n v="0"/>
    <n v="0"/>
    <n v="0"/>
    <n v="0"/>
    <m/>
    <n v="76.3"/>
  </r>
  <r>
    <x v="760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x v="761"/>
    <d v="2025-03-26T00:00:00"/>
    <x v="1"/>
    <s v="South"/>
    <s v="Mobile"/>
    <s v="Paid Search"/>
    <s v="Free"/>
    <n v="0"/>
    <n v="0"/>
    <n v="0"/>
    <n v="0"/>
    <n v="0"/>
    <n v="0"/>
    <n v="0"/>
    <m/>
    <m/>
  </r>
  <r>
    <x v="762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x v="763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x v="764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x v="765"/>
    <d v="2025-01-14T00:00:00"/>
    <x v="1"/>
    <s v="West"/>
    <m/>
    <s v="Email"/>
    <s v="Basic"/>
    <n v="1"/>
    <n v="1"/>
    <n v="1"/>
    <n v="0"/>
    <n v="0"/>
    <n v="1"/>
    <n v="0"/>
    <m/>
    <n v="59.3"/>
  </r>
  <r>
    <x v="766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x v="767"/>
    <d v="2025-01-16T00:00:00"/>
    <x v="1"/>
    <s v="East"/>
    <s v="Mobile"/>
    <s v="Referral"/>
    <s v="Free"/>
    <n v="1"/>
    <n v="0"/>
    <n v="0"/>
    <n v="0"/>
    <n v="0"/>
    <n v="0"/>
    <n v="0"/>
    <m/>
    <n v="75"/>
  </r>
  <r>
    <x v="768"/>
    <d v="2025-01-04T00:00:00"/>
    <x v="1"/>
    <s v="East"/>
    <s v="Mobile"/>
    <s v="Social"/>
    <s v="Free"/>
    <n v="1"/>
    <n v="0"/>
    <n v="0"/>
    <n v="0"/>
    <n v="0"/>
    <n v="0"/>
    <n v="0"/>
    <m/>
    <n v="70.2"/>
  </r>
  <r>
    <x v="769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x v="770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x v="771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x v="772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x v="773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x v="774"/>
    <d v="2025-04-23T00:00:00"/>
    <x v="1"/>
    <s v="West"/>
    <s v="Mobile"/>
    <s v="Social"/>
    <s v="Free"/>
    <n v="0"/>
    <n v="0"/>
    <n v="0"/>
    <n v="0"/>
    <n v="0"/>
    <n v="2"/>
    <n v="0"/>
    <m/>
    <n v="60.5"/>
  </r>
  <r>
    <x v="775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x v="776"/>
    <d v="2025-01-26T00:00:00"/>
    <x v="1"/>
    <s v="East"/>
    <s v="Desktop"/>
    <s v="Referral"/>
    <s v="Free"/>
    <n v="0"/>
    <n v="0"/>
    <n v="0"/>
    <n v="0"/>
    <n v="0"/>
    <n v="0"/>
    <n v="0"/>
    <m/>
    <n v="61"/>
  </r>
  <r>
    <x v="777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x v="778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x v="779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x v="780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x v="781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x v="782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x v="783"/>
    <d v="2025-04-17T00:00:00"/>
    <x v="1"/>
    <s v="West"/>
    <s v="Mobile"/>
    <s v="Referral"/>
    <s v="Free"/>
    <n v="1"/>
    <n v="0"/>
    <n v="0"/>
    <n v="0"/>
    <n v="0"/>
    <n v="0"/>
    <n v="0"/>
    <m/>
    <n v="58"/>
  </r>
  <r>
    <x v="784"/>
    <d v="2025-02-19T00:00:00"/>
    <x v="1"/>
    <s v="North"/>
    <s v="Mobile"/>
    <s v="Email"/>
    <s v="Basic"/>
    <n v="1"/>
    <n v="1"/>
    <n v="0"/>
    <n v="0"/>
    <n v="0"/>
    <n v="0"/>
    <n v="0"/>
    <m/>
    <n v="80.3"/>
  </r>
  <r>
    <x v="785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x v="786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x v="787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x v="788"/>
    <d v="2025-05-30T00:00:00"/>
    <x v="1"/>
    <s v="West"/>
    <s v="Mobile"/>
    <s v="Organic"/>
    <s v="Free"/>
    <n v="0"/>
    <n v="0"/>
    <n v="0"/>
    <n v="0"/>
    <n v="0"/>
    <n v="0"/>
    <n v="0"/>
    <m/>
    <n v="53.1"/>
  </r>
  <r>
    <x v="789"/>
    <d v="2025-01-20T00:00:00"/>
    <x v="1"/>
    <s v="West"/>
    <s v="Mobile"/>
    <s v="Organic"/>
    <s v="Free"/>
    <n v="0"/>
    <n v="0"/>
    <n v="0"/>
    <n v="0"/>
    <n v="0"/>
    <n v="0"/>
    <n v="0"/>
    <m/>
    <n v="66"/>
  </r>
  <r>
    <x v="790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x v="791"/>
    <d v="2025-03-04T00:00:00"/>
    <x v="1"/>
    <s v="West"/>
    <s v="Mobile"/>
    <s v="Social"/>
    <s v="Free"/>
    <n v="1"/>
    <n v="1"/>
    <n v="0"/>
    <n v="0"/>
    <n v="0"/>
    <n v="1"/>
    <n v="0"/>
    <m/>
    <n v="41.2"/>
  </r>
  <r>
    <x v="792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x v="793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x v="794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x v="795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x v="796"/>
    <d v="2025-03-07T00:00:00"/>
    <x v="1"/>
    <s v="West"/>
    <s v="Desktop"/>
    <s v="Social"/>
    <s v="Free"/>
    <n v="1"/>
    <n v="0"/>
    <n v="0"/>
    <n v="0"/>
    <n v="0"/>
    <n v="0"/>
    <n v="0"/>
    <m/>
    <n v="53.8"/>
  </r>
  <r>
    <x v="797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x v="798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x v="799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x v="800"/>
    <d v="2025-01-25T00:00:00"/>
    <x v="1"/>
    <s v="North"/>
    <s v="Desktop"/>
    <s v="Social"/>
    <s v="Free"/>
    <n v="1"/>
    <n v="1"/>
    <n v="1"/>
    <n v="0"/>
    <n v="0"/>
    <n v="0"/>
    <n v="0"/>
    <m/>
    <n v="75"/>
  </r>
  <r>
    <x v="801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x v="802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x v="803"/>
    <d v="2025-03-19T00:00:00"/>
    <x v="1"/>
    <s v="West"/>
    <s v="Mobile"/>
    <s v="Social"/>
    <s v="Free"/>
    <n v="0"/>
    <n v="0"/>
    <n v="0"/>
    <n v="0"/>
    <n v="0"/>
    <n v="2"/>
    <n v="0"/>
    <m/>
    <n v="44.3"/>
  </r>
  <r>
    <x v="804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x v="805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x v="806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x v="807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x v="808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x v="809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x v="810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x v="811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x v="812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x v="813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x v="814"/>
    <d v="2025-04-13T00:00:00"/>
    <x v="1"/>
    <s v="West"/>
    <s v="Tablet"/>
    <s v="Organic"/>
    <s v="Free"/>
    <n v="1"/>
    <n v="0"/>
    <n v="0"/>
    <n v="0"/>
    <n v="0"/>
    <n v="0"/>
    <n v="0"/>
    <m/>
    <n v="81.7"/>
  </r>
  <r>
    <x v="815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x v="816"/>
    <d v="2025-03-31T00:00:00"/>
    <x v="1"/>
    <s v="East"/>
    <s v="Mobile"/>
    <s v="Email"/>
    <s v="Free"/>
    <n v="1"/>
    <n v="1"/>
    <n v="0"/>
    <n v="0"/>
    <n v="0"/>
    <n v="0"/>
    <n v="0"/>
    <m/>
    <n v="85.6"/>
  </r>
  <r>
    <x v="817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x v="818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x v="819"/>
    <d v="2025-05-19T00:00:00"/>
    <x v="1"/>
    <s v="East"/>
    <s v="Mobile"/>
    <s v="Organic"/>
    <s v="Free"/>
    <n v="1"/>
    <n v="0"/>
    <n v="0"/>
    <n v="0"/>
    <n v="0"/>
    <n v="0"/>
    <n v="0"/>
    <m/>
    <n v="74.8"/>
  </r>
  <r>
    <x v="820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x v="821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x v="822"/>
    <d v="2025-01-02T00:00:00"/>
    <x v="1"/>
    <s v="East"/>
    <s v="Desktop"/>
    <s v="Social"/>
    <s v="Basic"/>
    <n v="1"/>
    <n v="0"/>
    <n v="0"/>
    <n v="0"/>
    <n v="0"/>
    <n v="2"/>
    <n v="0"/>
    <m/>
    <n v="73"/>
  </r>
  <r>
    <x v="823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x v="824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x v="825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x v="826"/>
    <d v="2025-01-05T00:00:00"/>
    <x v="1"/>
    <s v="West"/>
    <s v="Mobile"/>
    <s v="Email"/>
    <s v="Basic"/>
    <n v="1"/>
    <n v="0"/>
    <n v="0"/>
    <n v="0"/>
    <n v="0"/>
    <n v="0"/>
    <n v="0"/>
    <m/>
    <n v="61"/>
  </r>
  <r>
    <x v="827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x v="828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x v="829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x v="830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x v="831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x v="832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x v="833"/>
    <d v="2025-04-21T00:00:00"/>
    <x v="1"/>
    <s v="East"/>
    <s v="Mobile"/>
    <s v="Organic"/>
    <s v="Free"/>
    <n v="1"/>
    <n v="1"/>
    <n v="1"/>
    <n v="0"/>
    <n v="0"/>
    <n v="1"/>
    <n v="0"/>
    <m/>
    <n v="60.2"/>
  </r>
  <r>
    <x v="834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x v="835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x v="836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x v="837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x v="838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x v="839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x v="840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x v="841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x v="842"/>
    <d v="2025-02-08T00:00:00"/>
    <x v="1"/>
    <s v="South"/>
    <s v="Mobile"/>
    <s v="Organic"/>
    <s v="Premium"/>
    <n v="1"/>
    <n v="0"/>
    <n v="0"/>
    <n v="0"/>
    <n v="0"/>
    <n v="0"/>
    <n v="0"/>
    <m/>
    <m/>
  </r>
  <r>
    <x v="843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x v="844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x v="845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x v="846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x v="847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x v="848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x v="849"/>
    <d v="2025-01-24T00:00:00"/>
    <x v="1"/>
    <s v="East"/>
    <s v="Mobile"/>
    <s v="Organic"/>
    <s v="Free"/>
    <n v="0"/>
    <n v="0"/>
    <n v="0"/>
    <n v="0"/>
    <n v="0"/>
    <n v="0"/>
    <n v="0"/>
    <m/>
    <n v="46"/>
  </r>
  <r>
    <x v="850"/>
    <d v="2025-01-31T00:00:00"/>
    <x v="1"/>
    <s v="East"/>
    <s v="Desktop"/>
    <s v="Email"/>
    <s v="Free"/>
    <n v="1"/>
    <n v="1"/>
    <n v="1"/>
    <n v="0"/>
    <n v="0"/>
    <n v="0"/>
    <n v="0"/>
    <m/>
    <n v="88.4"/>
  </r>
  <r>
    <x v="851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x v="852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x v="853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x v="854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x v="855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x v="856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x v="857"/>
    <d v="2025-01-10T00:00:00"/>
    <x v="1"/>
    <s v="West"/>
    <s v="Desktop"/>
    <s v="Social"/>
    <s v="Free"/>
    <n v="0"/>
    <n v="0"/>
    <n v="0"/>
    <n v="0"/>
    <n v="0"/>
    <n v="0"/>
    <n v="0"/>
    <m/>
    <n v="71.8"/>
  </r>
  <r>
    <x v="858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x v="859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x v="860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x v="861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x v="862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x v="863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x v="864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x v="865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x v="866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x v="867"/>
    <d v="2025-04-21T00:00:00"/>
    <x v="1"/>
    <s v="North"/>
    <s v="Mobile"/>
    <s v="Social"/>
    <s v="Free"/>
    <n v="0"/>
    <n v="0"/>
    <n v="0"/>
    <n v="0"/>
    <n v="0"/>
    <n v="0"/>
    <n v="0"/>
    <m/>
    <n v="79.8"/>
  </r>
  <r>
    <x v="868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x v="869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x v="870"/>
    <d v="2025-02-07T00:00:00"/>
    <x v="1"/>
    <s v="East"/>
    <s v="Mobile"/>
    <s v="Organic"/>
    <s v="Free"/>
    <n v="1"/>
    <n v="0"/>
    <n v="0"/>
    <n v="0"/>
    <n v="0"/>
    <n v="0"/>
    <n v="0"/>
    <m/>
    <n v="27.6"/>
  </r>
  <r>
    <x v="871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x v="872"/>
    <d v="2025-04-22T00:00:00"/>
    <x v="1"/>
    <s v="West"/>
    <m/>
    <s v="Social"/>
    <s v="Free"/>
    <n v="1"/>
    <n v="0"/>
    <n v="0"/>
    <n v="0"/>
    <n v="0"/>
    <n v="0"/>
    <n v="0"/>
    <m/>
    <n v="67.8"/>
  </r>
  <r>
    <x v="873"/>
    <d v="2025-05-04T00:00:00"/>
    <x v="1"/>
    <s v="West"/>
    <s v="Desktop"/>
    <s v="Social"/>
    <s v="Free"/>
    <n v="1"/>
    <n v="0"/>
    <n v="0"/>
    <n v="0"/>
    <n v="0"/>
    <n v="0"/>
    <n v="0"/>
    <m/>
    <n v="80"/>
  </r>
  <r>
    <x v="874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x v="875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x v="876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x v="877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x v="878"/>
    <d v="2025-05-22T00:00:00"/>
    <x v="1"/>
    <s v="West"/>
    <s v="Mobile"/>
    <s v="Social"/>
    <s v="Basic"/>
    <n v="0"/>
    <n v="0"/>
    <n v="0"/>
    <n v="0"/>
    <n v="0"/>
    <n v="0"/>
    <n v="0"/>
    <m/>
    <n v="86.9"/>
  </r>
  <r>
    <x v="879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x v="880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x v="881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x v="882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x v="883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x v="884"/>
    <d v="2025-03-29T00:00:00"/>
    <x v="1"/>
    <s v="East"/>
    <s v="Mobile"/>
    <s v="Social"/>
    <s v="Free"/>
    <n v="1"/>
    <n v="1"/>
    <n v="1"/>
    <n v="0"/>
    <n v="0"/>
    <n v="0"/>
    <n v="0"/>
    <m/>
    <n v="48.8"/>
  </r>
  <r>
    <x v="885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x v="886"/>
    <d v="2025-05-30T00:00:00"/>
    <x v="1"/>
    <s v="South"/>
    <s v="Mobile"/>
    <s v="Email"/>
    <s v="Free"/>
    <n v="1"/>
    <n v="0"/>
    <n v="0"/>
    <n v="0"/>
    <n v="0"/>
    <n v="0"/>
    <n v="0"/>
    <m/>
    <n v="42.4"/>
  </r>
  <r>
    <x v="887"/>
    <d v="2025-04-06T00:00:00"/>
    <x v="1"/>
    <s v="East"/>
    <s v="Desktop"/>
    <s v="Email"/>
    <s v="Free"/>
    <n v="1"/>
    <n v="0"/>
    <n v="0"/>
    <n v="0"/>
    <n v="0"/>
    <n v="0"/>
    <n v="0"/>
    <m/>
    <n v="58.7"/>
  </r>
  <r>
    <x v="888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x v="889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x v="890"/>
    <d v="2025-03-04T00:00:00"/>
    <x v="1"/>
    <s v="West"/>
    <s v="Mobile"/>
    <s v="Email"/>
    <s v="Basic"/>
    <n v="1"/>
    <n v="0"/>
    <n v="0"/>
    <n v="0"/>
    <n v="0"/>
    <n v="0"/>
    <n v="0"/>
    <m/>
    <n v="82.4"/>
  </r>
  <r>
    <x v="891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x v="892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x v="893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x v="894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x v="895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x v="896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x v="897"/>
    <d v="2025-02-02T00:00:00"/>
    <x v="1"/>
    <s v="South"/>
    <s v="Mobile"/>
    <m/>
    <s v="Free"/>
    <n v="1"/>
    <n v="0"/>
    <n v="0"/>
    <n v="0"/>
    <n v="0"/>
    <n v="0"/>
    <n v="0"/>
    <m/>
    <n v="100"/>
  </r>
  <r>
    <x v="898"/>
    <d v="2025-04-03T00:00:00"/>
    <x v="1"/>
    <s v="South"/>
    <s v="Mobile"/>
    <s v="Social"/>
    <s v="Free"/>
    <n v="1"/>
    <n v="1"/>
    <n v="0"/>
    <n v="0"/>
    <n v="0"/>
    <n v="0"/>
    <n v="0"/>
    <m/>
    <n v="87.5"/>
  </r>
  <r>
    <x v="899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x v="900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x v="901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x v="902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x v="903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x v="904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x v="905"/>
    <d v="2025-02-24T00:00:00"/>
    <x v="1"/>
    <s v="East"/>
    <s v="Mobile"/>
    <s v="Social"/>
    <s v="Free"/>
    <n v="1"/>
    <n v="0"/>
    <n v="0"/>
    <n v="0"/>
    <n v="0"/>
    <n v="0"/>
    <n v="0"/>
    <m/>
    <n v="58.2"/>
  </r>
  <r>
    <x v="906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x v="907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x v="908"/>
    <d v="2025-03-21T00:00:00"/>
    <x v="1"/>
    <s v="West"/>
    <s v="Desktop"/>
    <s v="Email"/>
    <s v="Free"/>
    <n v="1"/>
    <n v="0"/>
    <n v="0"/>
    <n v="0"/>
    <n v="0"/>
    <n v="3"/>
    <n v="0"/>
    <m/>
    <n v="53.3"/>
  </r>
  <r>
    <x v="909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x v="910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x v="911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x v="912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x v="913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x v="914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x v="915"/>
    <d v="2025-03-03T00:00:00"/>
    <x v="1"/>
    <s v="South"/>
    <s v="Mobile"/>
    <s v="Social"/>
    <s v="Free"/>
    <n v="1"/>
    <n v="0"/>
    <n v="0"/>
    <n v="0"/>
    <n v="0"/>
    <n v="0"/>
    <n v="0"/>
    <m/>
    <n v="64.5"/>
  </r>
  <r>
    <x v="916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x v="917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x v="918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x v="919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x v="920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x v="921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x v="922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x v="923"/>
    <d v="2025-03-12T00:00:00"/>
    <x v="1"/>
    <s v="West"/>
    <s v="Mobile"/>
    <s v="Email"/>
    <s v="Basic"/>
    <n v="1"/>
    <n v="0"/>
    <n v="0"/>
    <n v="0"/>
    <n v="0"/>
    <n v="0"/>
    <n v="0"/>
    <m/>
    <n v="48.8"/>
  </r>
  <r>
    <x v="924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x v="925"/>
    <d v="2025-01-15T00:00:00"/>
    <x v="1"/>
    <s v="East"/>
    <s v="Mobile"/>
    <s v="Referral"/>
    <s v="Free"/>
    <n v="1"/>
    <n v="1"/>
    <n v="1"/>
    <n v="0"/>
    <n v="0"/>
    <n v="0"/>
    <n v="0"/>
    <m/>
    <n v="80"/>
  </r>
  <r>
    <x v="926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x v="927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x v="928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x v="929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x v="930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x v="931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x v="932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x v="933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x v="934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x v="935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x v="936"/>
    <d v="2025-05-21T00:00:00"/>
    <x v="1"/>
    <s v="South"/>
    <s v="Desktop"/>
    <m/>
    <s v="Basic"/>
    <n v="0"/>
    <n v="0"/>
    <n v="0"/>
    <n v="0"/>
    <n v="0"/>
    <n v="0"/>
    <n v="0"/>
    <m/>
    <n v="82"/>
  </r>
  <r>
    <x v="937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x v="938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x v="939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x v="940"/>
    <d v="2025-01-15T00:00:00"/>
    <x v="1"/>
    <s v="East"/>
    <s v="Mobile"/>
    <s v="Email"/>
    <s v="Free"/>
    <n v="1"/>
    <n v="1"/>
    <n v="1"/>
    <n v="0"/>
    <n v="0"/>
    <n v="2"/>
    <n v="0"/>
    <m/>
    <n v="76.5"/>
  </r>
  <r>
    <x v="941"/>
    <d v="2025-01-03T00:00:00"/>
    <x v="1"/>
    <s v="South"/>
    <s v="Mobile"/>
    <s v="Organic"/>
    <s v="Basic"/>
    <n v="1"/>
    <n v="1"/>
    <n v="0"/>
    <n v="0"/>
    <n v="0"/>
    <n v="0"/>
    <n v="0"/>
    <m/>
    <n v="62"/>
  </r>
  <r>
    <x v="942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x v="943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x v="944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x v="945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x v="946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x v="947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x v="948"/>
    <d v="2025-02-06T00:00:00"/>
    <x v="1"/>
    <s v="North"/>
    <s v="Mobile"/>
    <s v="Organic"/>
    <s v="Free"/>
    <n v="1"/>
    <n v="1"/>
    <n v="1"/>
    <n v="0"/>
    <n v="0"/>
    <n v="0"/>
    <n v="0"/>
    <m/>
    <n v="73"/>
  </r>
  <r>
    <x v="949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x v="950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x v="951"/>
    <d v="2025-04-13T00:00:00"/>
    <x v="1"/>
    <s v="West"/>
    <s v="Mobile"/>
    <m/>
    <s v="Premium"/>
    <n v="1"/>
    <n v="0"/>
    <n v="0"/>
    <n v="0"/>
    <n v="0"/>
    <n v="0"/>
    <n v="0"/>
    <m/>
    <n v="57.1"/>
  </r>
  <r>
    <x v="952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x v="953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x v="954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x v="955"/>
    <d v="2025-01-14T00:00:00"/>
    <x v="1"/>
    <s v="West"/>
    <s v="Mobile"/>
    <s v="Referral"/>
    <s v="Free"/>
    <n v="0"/>
    <n v="0"/>
    <n v="0"/>
    <n v="0"/>
    <n v="0"/>
    <n v="2"/>
    <n v="0"/>
    <m/>
    <n v="41"/>
  </r>
  <r>
    <x v="956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x v="957"/>
    <d v="2025-05-02T00:00:00"/>
    <x v="1"/>
    <s v="West"/>
    <s v="Desktop"/>
    <s v="Social"/>
    <s v="Free"/>
    <n v="0"/>
    <n v="0"/>
    <n v="0"/>
    <n v="0"/>
    <n v="0"/>
    <n v="1"/>
    <n v="0"/>
    <m/>
    <n v="60.8"/>
  </r>
  <r>
    <x v="958"/>
    <d v="2025-05-21T00:00:00"/>
    <x v="1"/>
    <s v="East"/>
    <s v="Mobile"/>
    <s v="Organic"/>
    <s v="Free"/>
    <n v="1"/>
    <n v="0"/>
    <n v="0"/>
    <n v="0"/>
    <n v="0"/>
    <n v="0"/>
    <n v="0"/>
    <m/>
    <n v="63.1"/>
  </r>
  <r>
    <x v="959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x v="960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x v="961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x v="962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x v="963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x v="964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x v="965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x v="966"/>
    <d v="2025-02-19T00:00:00"/>
    <x v="1"/>
    <s v="South"/>
    <s v="Desktop"/>
    <m/>
    <s v="Free"/>
    <n v="1"/>
    <n v="0"/>
    <n v="0"/>
    <n v="0"/>
    <n v="0"/>
    <n v="0"/>
    <n v="0"/>
    <m/>
    <n v="59"/>
  </r>
  <r>
    <x v="967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x v="968"/>
    <d v="2025-03-23T00:00:00"/>
    <x v="1"/>
    <s v="South"/>
    <s v="Mobile"/>
    <s v="Social"/>
    <s v="Free"/>
    <n v="0"/>
    <n v="0"/>
    <n v="0"/>
    <n v="0"/>
    <n v="0"/>
    <n v="0"/>
    <n v="0"/>
    <m/>
    <n v="64.3"/>
  </r>
  <r>
    <x v="969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x v="970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x v="971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x v="972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x v="973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x v="974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x v="975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x v="976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x v="977"/>
    <d v="2025-01-03T00:00:00"/>
    <x v="1"/>
    <s v="West"/>
    <s v="Desktop"/>
    <s v="Email"/>
    <s v="Basic"/>
    <n v="1"/>
    <n v="1"/>
    <n v="1"/>
    <n v="0"/>
    <n v="0"/>
    <n v="1"/>
    <n v="0"/>
    <m/>
    <n v="57.8"/>
  </r>
  <r>
    <x v="978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x v="979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x v="980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x v="981"/>
    <d v="2025-04-10T00:00:00"/>
    <x v="1"/>
    <s v="South"/>
    <s v="Desktop"/>
    <s v="Email"/>
    <s v="Free"/>
    <n v="1"/>
    <n v="0"/>
    <n v="0"/>
    <n v="0"/>
    <n v="0"/>
    <n v="3"/>
    <n v="0"/>
    <m/>
    <n v="51.5"/>
  </r>
  <r>
    <x v="982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x v="983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x v="984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x v="985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x v="986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x v="987"/>
    <d v="2025-04-19T00:00:00"/>
    <x v="1"/>
    <s v="West"/>
    <s v="Tablet"/>
    <s v="Email"/>
    <s v="Basic"/>
    <n v="1"/>
    <n v="0"/>
    <n v="0"/>
    <n v="0"/>
    <n v="0"/>
    <n v="0"/>
    <n v="0"/>
    <m/>
    <n v="64.2"/>
  </r>
  <r>
    <x v="988"/>
    <d v="2025-04-11T00:00:00"/>
    <x v="1"/>
    <s v="West"/>
    <s v="Desktop"/>
    <s v="Organic"/>
    <s v="Free"/>
    <n v="0"/>
    <n v="0"/>
    <n v="0"/>
    <n v="0"/>
    <n v="0"/>
    <n v="0"/>
    <n v="0"/>
    <m/>
    <n v="60"/>
  </r>
  <r>
    <x v="989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x v="990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x v="991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x v="992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x v="993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x v="994"/>
    <d v="2025-03-20T00:00:00"/>
    <x v="1"/>
    <s v="East"/>
    <s v="Tablet"/>
    <s v="Social"/>
    <s v="Free"/>
    <n v="0"/>
    <n v="0"/>
    <n v="0"/>
    <n v="0"/>
    <n v="0"/>
    <n v="0"/>
    <n v="0"/>
    <m/>
    <n v="86.4"/>
  </r>
  <r>
    <x v="995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x v="996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x v="997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x v="998"/>
    <d v="2025-02-05T00:00:00"/>
    <x v="1"/>
    <s v="East"/>
    <s v="Mobile"/>
    <s v="Social"/>
    <s v="Basic"/>
    <n v="1"/>
    <n v="1"/>
    <n v="1"/>
    <n v="0"/>
    <n v="0"/>
    <n v="0"/>
    <n v="0"/>
    <m/>
    <n v="70.3"/>
  </r>
  <r>
    <x v="999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x v="1000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x v="1001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x v="1002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x v="1003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x v="1004"/>
    <d v="2025-05-03T00:00:00"/>
    <x v="1"/>
    <s v="East"/>
    <s v="Mobile"/>
    <s v="Email"/>
    <s v="Free"/>
    <n v="1"/>
    <n v="1"/>
    <n v="1"/>
    <n v="0"/>
    <n v="0"/>
    <n v="0"/>
    <n v="0"/>
    <m/>
    <n v="80.7"/>
  </r>
  <r>
    <x v="1005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x v="1006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x v="1007"/>
    <d v="2025-02-18T00:00:00"/>
    <x v="1"/>
    <s v="West"/>
    <s v="Desktop"/>
    <s v="Organic"/>
    <s v="Free"/>
    <n v="1"/>
    <n v="0"/>
    <n v="0"/>
    <n v="0"/>
    <n v="0"/>
    <n v="0"/>
    <n v="0"/>
    <m/>
    <n v="66"/>
  </r>
  <r>
    <x v="1008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x v="1009"/>
    <d v="2025-05-21T00:00:00"/>
    <x v="1"/>
    <s v="South"/>
    <s v="Desktop"/>
    <s v="Organic"/>
    <s v="Free"/>
    <n v="0"/>
    <n v="0"/>
    <n v="0"/>
    <n v="0"/>
    <n v="0"/>
    <n v="0"/>
    <n v="0"/>
    <m/>
    <n v="56"/>
  </r>
  <r>
    <x v="1010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x v="1011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x v="1012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x v="1013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x v="1014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x v="1015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x v="1016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x v="1017"/>
    <d v="2025-04-01T00:00:00"/>
    <x v="1"/>
    <s v="South"/>
    <s v="Mobile"/>
    <m/>
    <s v="Basic"/>
    <n v="1"/>
    <n v="0"/>
    <n v="0"/>
    <n v="0"/>
    <n v="0"/>
    <n v="0"/>
    <n v="0"/>
    <m/>
    <n v="63.6"/>
  </r>
  <r>
    <x v="1018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x v="1019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x v="1020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x v="1021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x v="1022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x v="1023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x v="1024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x v="1025"/>
    <d v="2025-03-26T00:00:00"/>
    <x v="1"/>
    <s v="East"/>
    <s v="Mobile"/>
    <s v="Referral"/>
    <s v="Free"/>
    <n v="1"/>
    <n v="0"/>
    <n v="0"/>
    <n v="0"/>
    <n v="0"/>
    <n v="0"/>
    <n v="0"/>
    <m/>
    <n v="57"/>
  </r>
  <r>
    <x v="1026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x v="1027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x v="1028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x v="1029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x v="1030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x v="1031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x v="1032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x v="1033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x v="1034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x v="1035"/>
    <d v="2025-01-04T00:00:00"/>
    <x v="1"/>
    <s v="North"/>
    <s v="Mobile"/>
    <s v="Social"/>
    <s v="Free"/>
    <n v="0"/>
    <n v="0"/>
    <n v="0"/>
    <n v="0"/>
    <n v="0"/>
    <n v="0"/>
    <n v="0"/>
    <m/>
    <n v="41.5"/>
  </r>
  <r>
    <x v="1036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x v="1037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x v="1038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x v="1039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x v="1040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x v="1041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x v="1042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x v="1043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x v="1044"/>
    <d v="2025-02-26T00:00:00"/>
    <x v="1"/>
    <s v="East"/>
    <s v="Desktop"/>
    <m/>
    <s v="Basic"/>
    <n v="1"/>
    <n v="0"/>
    <n v="0"/>
    <n v="0"/>
    <n v="0"/>
    <n v="0"/>
    <n v="0"/>
    <m/>
    <n v="68"/>
  </r>
  <r>
    <x v="1045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x v="1046"/>
    <d v="2025-04-13T00:00:00"/>
    <x v="1"/>
    <s v="West"/>
    <s v="Mobile"/>
    <s v="Organic"/>
    <s v="Basic"/>
    <n v="1"/>
    <n v="0"/>
    <n v="0"/>
    <n v="0"/>
    <n v="0"/>
    <n v="0"/>
    <n v="0"/>
    <m/>
    <n v="55"/>
  </r>
  <r>
    <x v="1047"/>
    <d v="2025-02-20T00:00:00"/>
    <x v="1"/>
    <s v="East"/>
    <m/>
    <s v="Paid Search"/>
    <s v="Basic"/>
    <n v="1"/>
    <n v="0"/>
    <n v="0"/>
    <n v="0"/>
    <n v="0"/>
    <n v="0"/>
    <n v="0"/>
    <m/>
    <n v="63.1"/>
  </r>
  <r>
    <x v="1048"/>
    <d v="2025-04-19T00:00:00"/>
    <x v="1"/>
    <s v="West"/>
    <s v="Desktop"/>
    <s v="Social"/>
    <s v="Free"/>
    <n v="1"/>
    <n v="0"/>
    <n v="0"/>
    <n v="0"/>
    <n v="0"/>
    <n v="0"/>
    <n v="0"/>
    <m/>
    <n v="75.8"/>
  </r>
  <r>
    <x v="1049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x v="1050"/>
    <d v="2025-02-28T00:00:00"/>
    <x v="1"/>
    <s v="North"/>
    <s v="Mobile"/>
    <s v="Email"/>
    <s v="Basic"/>
    <n v="1"/>
    <n v="1"/>
    <n v="0"/>
    <n v="0"/>
    <n v="0"/>
    <n v="0"/>
    <n v="0"/>
    <m/>
    <n v="46.8"/>
  </r>
  <r>
    <x v="1051"/>
    <d v="2025-05-24T00:00:00"/>
    <x v="1"/>
    <s v="East"/>
    <s v="Mobile"/>
    <s v="Social"/>
    <s v="Free"/>
    <n v="1"/>
    <n v="1"/>
    <n v="1"/>
    <n v="0"/>
    <n v="0"/>
    <n v="0"/>
    <n v="0"/>
    <m/>
    <n v="97.4"/>
  </r>
  <r>
    <x v="1052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x v="1053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x v="1054"/>
    <d v="2025-04-17T00:00:00"/>
    <x v="1"/>
    <s v="East"/>
    <s v="Mobile"/>
    <s v="Organic"/>
    <s v="Free"/>
    <n v="1"/>
    <n v="0"/>
    <n v="0"/>
    <n v="0"/>
    <n v="0"/>
    <n v="0"/>
    <n v="0"/>
    <m/>
    <n v="51.9"/>
  </r>
  <r>
    <x v="1055"/>
    <d v="2025-02-06T00:00:00"/>
    <x v="1"/>
    <s v="West"/>
    <s v="Mobile"/>
    <s v="Social"/>
    <s v="Free"/>
    <n v="1"/>
    <n v="1"/>
    <n v="0"/>
    <n v="0"/>
    <n v="0"/>
    <n v="0"/>
    <n v="0"/>
    <m/>
    <n v="61.7"/>
  </r>
  <r>
    <x v="1056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x v="1057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x v="1058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x v="1059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x v="1060"/>
    <d v="2025-04-09T00:00:00"/>
    <x v="1"/>
    <s v="West"/>
    <s v="Mobile"/>
    <s v="Social"/>
    <s v="Free"/>
    <n v="0"/>
    <n v="0"/>
    <n v="0"/>
    <n v="0"/>
    <n v="0"/>
    <n v="0"/>
    <n v="0"/>
    <m/>
    <n v="50.3"/>
  </r>
  <r>
    <x v="1061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x v="1062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x v="1063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x v="1064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x v="1065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x v="1066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x v="1067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x v="1068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x v="1069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x v="1070"/>
    <d v="2025-04-11T00:00:00"/>
    <x v="1"/>
    <s v="East"/>
    <s v="Tablet"/>
    <s v="Referral"/>
    <s v="Free"/>
    <n v="1"/>
    <n v="1"/>
    <n v="1"/>
    <n v="0"/>
    <n v="0"/>
    <n v="0"/>
    <n v="0"/>
    <m/>
    <n v="72"/>
  </r>
  <r>
    <x v="1071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x v="1072"/>
    <d v="2025-05-22T00:00:00"/>
    <x v="1"/>
    <s v="East"/>
    <s v="Mobile"/>
    <s v="Referral"/>
    <s v="Free"/>
    <n v="1"/>
    <n v="0"/>
    <n v="0"/>
    <n v="0"/>
    <n v="0"/>
    <n v="1"/>
    <n v="0"/>
    <m/>
    <m/>
  </r>
  <r>
    <x v="1073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x v="1074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x v="1075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x v="1076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x v="1077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x v="1078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x v="1079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x v="1080"/>
    <d v="2025-03-28T00:00:00"/>
    <x v="1"/>
    <s v="East"/>
    <s v="Mobile"/>
    <s v="Organic"/>
    <s v="Free"/>
    <n v="1"/>
    <n v="0"/>
    <n v="0"/>
    <n v="0"/>
    <n v="0"/>
    <n v="0"/>
    <n v="0"/>
    <m/>
    <n v="54.2"/>
  </r>
  <r>
    <x v="1081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x v="1082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x v="1083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x v="1084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x v="1085"/>
    <d v="2025-04-12T00:00:00"/>
    <x v="1"/>
    <s v="South"/>
    <s v="Mobile"/>
    <s v="Social"/>
    <s v="Free"/>
    <n v="1"/>
    <n v="1"/>
    <n v="1"/>
    <n v="0"/>
    <n v="0"/>
    <n v="0"/>
    <n v="0"/>
    <m/>
    <n v="59.3"/>
  </r>
  <r>
    <x v="1086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x v="1087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x v="1088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x v="1089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x v="1090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x v="1091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x v="1092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x v="1093"/>
    <d v="2025-03-21T00:00:00"/>
    <x v="1"/>
    <s v="South"/>
    <s v="Tablet"/>
    <s v="Email"/>
    <s v="Basic"/>
    <n v="0"/>
    <n v="0"/>
    <n v="0"/>
    <n v="0"/>
    <n v="0"/>
    <n v="0"/>
    <n v="0"/>
    <m/>
    <n v="46.4"/>
  </r>
  <r>
    <x v="1094"/>
    <d v="2025-01-25T00:00:00"/>
    <x v="1"/>
    <s v="West"/>
    <s v="Mobile"/>
    <s v="Organic"/>
    <s v="Free"/>
    <n v="1"/>
    <n v="1"/>
    <n v="1"/>
    <n v="0"/>
    <n v="0"/>
    <n v="1"/>
    <n v="0"/>
    <m/>
    <n v="81.3"/>
  </r>
  <r>
    <x v="1095"/>
    <d v="2025-01-12T00:00:00"/>
    <x v="1"/>
    <s v="South"/>
    <s v="Tablet"/>
    <s v="Social"/>
    <s v="Free"/>
    <n v="1"/>
    <n v="1"/>
    <n v="1"/>
    <n v="0"/>
    <n v="0"/>
    <n v="0"/>
    <n v="0"/>
    <m/>
    <n v="55.3"/>
  </r>
  <r>
    <x v="1096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x v="1097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x v="1098"/>
    <d v="2025-04-19T00:00:00"/>
    <x v="1"/>
    <s v="North"/>
    <s v="Mobile"/>
    <s v="Paid Search"/>
    <s v="Basic"/>
    <n v="1"/>
    <n v="0"/>
    <n v="0"/>
    <n v="0"/>
    <n v="0"/>
    <n v="0"/>
    <n v="0"/>
    <m/>
    <m/>
  </r>
  <r>
    <x v="1099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x v="1100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x v="1101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x v="1102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x v="1103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x v="1104"/>
    <d v="2025-05-31T00:00:00"/>
    <x v="1"/>
    <s v="West"/>
    <s v="Mobile"/>
    <s v="Email"/>
    <s v="Basic"/>
    <n v="1"/>
    <n v="0"/>
    <n v="0"/>
    <n v="0"/>
    <n v="0"/>
    <n v="0"/>
    <n v="0"/>
    <m/>
    <n v="60.5"/>
  </r>
  <r>
    <x v="1105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x v="1106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x v="1107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x v="1108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x v="1109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x v="1110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x v="1111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x v="1112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x v="1113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x v="1114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x v="1115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x v="1116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x v="1117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x v="1118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x v="1119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x v="1120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x v="1121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x v="1122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x v="1123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x v="1124"/>
    <d v="2025-01-11T00:00:00"/>
    <x v="1"/>
    <s v="East"/>
    <s v="Desktop"/>
    <s v="Social"/>
    <s v="Free"/>
    <n v="1"/>
    <n v="1"/>
    <n v="1"/>
    <n v="0"/>
    <n v="0"/>
    <n v="3"/>
    <n v="0"/>
    <m/>
    <n v="62.1"/>
  </r>
  <r>
    <x v="1125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x v="1126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x v="1127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x v="1128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x v="1129"/>
    <d v="2025-03-21T00:00:00"/>
    <x v="1"/>
    <s v="West"/>
    <s v="Mobile"/>
    <s v="Organic"/>
    <s v="Free"/>
    <n v="1"/>
    <n v="0"/>
    <n v="0"/>
    <n v="0"/>
    <n v="0"/>
    <n v="0"/>
    <n v="0"/>
    <m/>
    <n v="63.2"/>
  </r>
  <r>
    <x v="1130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x v="1131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x v="1132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x v="1133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x v="1134"/>
    <d v="2025-03-24T00:00:00"/>
    <x v="1"/>
    <s v="East"/>
    <s v="Mobile"/>
    <s v="Social"/>
    <s v="Basic"/>
    <n v="1"/>
    <n v="0"/>
    <n v="0"/>
    <n v="0"/>
    <n v="0"/>
    <n v="0"/>
    <n v="0"/>
    <m/>
    <n v="74.8"/>
  </r>
  <r>
    <x v="1135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x v="1136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x v="1137"/>
    <d v="2025-01-25T00:00:00"/>
    <x v="1"/>
    <s v="West"/>
    <s v="Mobile"/>
    <s v="Email"/>
    <s v="Free"/>
    <n v="1"/>
    <n v="1"/>
    <n v="0"/>
    <n v="0"/>
    <n v="0"/>
    <n v="0"/>
    <n v="0"/>
    <m/>
    <n v="73.5"/>
  </r>
  <r>
    <x v="1138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x v="1139"/>
    <d v="2025-01-10T00:00:00"/>
    <x v="1"/>
    <s v="West"/>
    <s v="Mobile"/>
    <s v="Social"/>
    <s v="Free"/>
    <n v="1"/>
    <n v="0"/>
    <n v="0"/>
    <n v="0"/>
    <n v="0"/>
    <n v="0"/>
    <n v="0"/>
    <m/>
    <n v="63.7"/>
  </r>
  <r>
    <x v="1140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x v="1141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x v="1142"/>
    <d v="2025-01-18T00:00:00"/>
    <x v="1"/>
    <s v="East"/>
    <s v="Mobile"/>
    <s v="Organic"/>
    <s v="Free"/>
    <n v="1"/>
    <n v="0"/>
    <n v="0"/>
    <n v="0"/>
    <n v="0"/>
    <n v="0"/>
    <n v="0"/>
    <m/>
    <n v="46.6"/>
  </r>
  <r>
    <x v="1143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x v="1144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x v="1145"/>
    <d v="2025-03-22T00:00:00"/>
    <x v="1"/>
    <s v="North"/>
    <s v="Mobile"/>
    <s v="Referral"/>
    <s v="Free"/>
    <n v="1"/>
    <n v="1"/>
    <n v="1"/>
    <n v="0"/>
    <n v="0"/>
    <n v="0"/>
    <n v="0"/>
    <m/>
    <n v="72"/>
  </r>
  <r>
    <x v="1146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x v="1147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x v="1148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x v="1149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x v="1150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x v="1151"/>
    <d v="2025-02-11T00:00:00"/>
    <x v="1"/>
    <s v="East"/>
    <s v="Desktop"/>
    <s v="Organic"/>
    <s v="Basic"/>
    <n v="1"/>
    <n v="0"/>
    <n v="0"/>
    <n v="0"/>
    <n v="0"/>
    <n v="1"/>
    <n v="0"/>
    <m/>
    <n v="69"/>
  </r>
  <r>
    <x v="1152"/>
    <d v="2025-03-01T00:00:00"/>
    <x v="1"/>
    <s v="West"/>
    <s v="Mobile"/>
    <s v="Social"/>
    <s v="Free"/>
    <n v="0"/>
    <n v="0"/>
    <n v="0"/>
    <n v="0"/>
    <n v="0"/>
    <n v="0"/>
    <n v="0"/>
    <m/>
    <n v="37.4"/>
  </r>
  <r>
    <x v="1153"/>
    <d v="2025-04-15T00:00:00"/>
    <x v="1"/>
    <s v="West"/>
    <s v="Mobile"/>
    <s v="Organic"/>
    <s v="Basic"/>
    <n v="0"/>
    <n v="0"/>
    <n v="0"/>
    <n v="0"/>
    <n v="0"/>
    <n v="0"/>
    <n v="0"/>
    <m/>
    <n v="59"/>
  </r>
  <r>
    <x v="1154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x v="1155"/>
    <d v="2025-05-19T00:00:00"/>
    <x v="1"/>
    <s v="South"/>
    <s v="Mobile"/>
    <s v="Email"/>
    <s v="Free"/>
    <n v="1"/>
    <n v="0"/>
    <n v="0"/>
    <n v="0"/>
    <n v="0"/>
    <n v="0"/>
    <n v="0"/>
    <m/>
    <n v="57.5"/>
  </r>
  <r>
    <x v="1156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x v="1157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x v="1158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x v="1159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x v="1160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x v="1161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x v="1162"/>
    <d v="2025-01-02T00:00:00"/>
    <x v="1"/>
    <s v="West"/>
    <s v="Mobile"/>
    <s v="Social"/>
    <s v="Free"/>
    <n v="0"/>
    <n v="0"/>
    <n v="0"/>
    <n v="0"/>
    <n v="0"/>
    <n v="1"/>
    <n v="0"/>
    <m/>
    <n v="66.7"/>
  </r>
  <r>
    <x v="1163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x v="1164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x v="1165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x v="1166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x v="1167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x v="1168"/>
    <d v="2025-03-23T00:00:00"/>
    <x v="1"/>
    <s v="South"/>
    <s v="Mobile"/>
    <s v="Social"/>
    <s v="Free"/>
    <n v="1"/>
    <n v="1"/>
    <n v="1"/>
    <n v="0"/>
    <n v="0"/>
    <n v="2"/>
    <n v="0"/>
    <m/>
    <n v="53.5"/>
  </r>
  <r>
    <x v="1169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x v="1170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x v="1171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x v="1172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x v="1173"/>
    <d v="2025-03-18T00:00:00"/>
    <x v="1"/>
    <s v="South"/>
    <s v="Mobile"/>
    <s v="Email"/>
    <s v="Free"/>
    <n v="1"/>
    <n v="0"/>
    <n v="0"/>
    <n v="0"/>
    <n v="0"/>
    <n v="4"/>
    <n v="0"/>
    <m/>
    <n v="50.9"/>
  </r>
  <r>
    <x v="1174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x v="1175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x v="1176"/>
    <d v="2025-02-04T00:00:00"/>
    <x v="1"/>
    <s v="East"/>
    <m/>
    <s v="Paid Search"/>
    <s v="Basic"/>
    <n v="0"/>
    <n v="0"/>
    <n v="0"/>
    <n v="0"/>
    <n v="0"/>
    <n v="0"/>
    <n v="0"/>
    <m/>
    <n v="69.7"/>
  </r>
  <r>
    <x v="1177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x v="1178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x v="1179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x v="1180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x v="1181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x v="1182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x v="1183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x v="1184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x v="1185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x v="1186"/>
    <d v="2025-01-15T00:00:00"/>
    <x v="1"/>
    <s v="West"/>
    <s v="Desktop"/>
    <s v="Email"/>
    <s v="Free"/>
    <n v="1"/>
    <n v="0"/>
    <n v="0"/>
    <n v="0"/>
    <n v="0"/>
    <n v="3"/>
    <n v="0"/>
    <m/>
    <n v="69"/>
  </r>
  <r>
    <x v="1187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x v="1188"/>
    <d v="2025-04-16T00:00:00"/>
    <x v="1"/>
    <s v="East"/>
    <m/>
    <s v="Referral"/>
    <s v="Free"/>
    <n v="1"/>
    <n v="0"/>
    <n v="0"/>
    <n v="0"/>
    <n v="0"/>
    <n v="0"/>
    <n v="0"/>
    <m/>
    <n v="66.3"/>
  </r>
  <r>
    <x v="1189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x v="1190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x v="1191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x v="1192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x v="1193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x v="1194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x v="1195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x v="1196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x v="1197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x v="1198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x v="1199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x v="1200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x v="1201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x v="1202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x v="1203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x v="1204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x v="1205"/>
    <d v="2025-01-25T00:00:00"/>
    <x v="1"/>
    <s v="East"/>
    <s v="Mobile"/>
    <s v="Social"/>
    <s v="Free"/>
    <n v="0"/>
    <n v="0"/>
    <n v="0"/>
    <n v="0"/>
    <n v="0"/>
    <n v="0"/>
    <n v="0"/>
    <m/>
    <n v="47.7"/>
  </r>
  <r>
    <x v="1206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x v="1207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x v="1208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x v="1209"/>
    <d v="2025-02-24T00:00:00"/>
    <x v="1"/>
    <s v="West"/>
    <s v="Mobile"/>
    <s v="Organic"/>
    <s v="Basic"/>
    <n v="1"/>
    <n v="0"/>
    <n v="0"/>
    <n v="0"/>
    <n v="0"/>
    <n v="0"/>
    <n v="0"/>
    <m/>
    <n v="62"/>
  </r>
  <r>
    <x v="1210"/>
    <d v="2025-05-29T00:00:00"/>
    <x v="1"/>
    <s v="South"/>
    <s v="Mobile"/>
    <s v="Organic"/>
    <s v="Free"/>
    <n v="1"/>
    <n v="1"/>
    <n v="0"/>
    <n v="0"/>
    <n v="0"/>
    <n v="0"/>
    <n v="0"/>
    <m/>
    <n v="56"/>
  </r>
  <r>
    <x v="1211"/>
    <d v="2025-05-30T00:00:00"/>
    <x v="1"/>
    <s v="North"/>
    <s v="Mobile"/>
    <s v="Email"/>
    <s v="Basic"/>
    <n v="1"/>
    <n v="0"/>
    <n v="0"/>
    <n v="0"/>
    <n v="0"/>
    <n v="1"/>
    <n v="0"/>
    <m/>
    <n v="65.8"/>
  </r>
  <r>
    <x v="1212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x v="1213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x v="1214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x v="1215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x v="1216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x v="1217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x v="1218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x v="1219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x v="1220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x v="1221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x v="1222"/>
    <d v="2025-03-09T00:00:00"/>
    <x v="1"/>
    <s v="West"/>
    <s v="Mobile"/>
    <s v="Organic"/>
    <s v="Free"/>
    <n v="0"/>
    <n v="0"/>
    <n v="0"/>
    <n v="0"/>
    <n v="0"/>
    <n v="0"/>
    <n v="0"/>
    <m/>
    <n v="63.5"/>
  </r>
  <r>
    <x v="1223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x v="1224"/>
    <d v="2025-01-31T00:00:00"/>
    <x v="1"/>
    <s v="West"/>
    <s v="Mobile"/>
    <s v="Social"/>
    <s v="Free"/>
    <n v="0"/>
    <n v="0"/>
    <n v="0"/>
    <n v="0"/>
    <n v="0"/>
    <n v="0"/>
    <n v="0"/>
    <m/>
    <n v="63.3"/>
  </r>
  <r>
    <x v="1225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x v="1226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x v="1227"/>
    <d v="2025-03-23T00:00:00"/>
    <x v="1"/>
    <s v="East"/>
    <m/>
    <s v="Paid Search"/>
    <s v="Free"/>
    <n v="1"/>
    <n v="0"/>
    <n v="0"/>
    <n v="0"/>
    <n v="0"/>
    <n v="1"/>
    <n v="0"/>
    <m/>
    <n v="61.5"/>
  </r>
  <r>
    <x v="1228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x v="1229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x v="1230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x v="1231"/>
    <d v="2025-03-30T00:00:00"/>
    <x v="1"/>
    <s v="East"/>
    <s v="Mobile"/>
    <s v="Organic"/>
    <s v="Free"/>
    <n v="1"/>
    <n v="1"/>
    <n v="1"/>
    <n v="0"/>
    <n v="0"/>
    <n v="1"/>
    <n v="0"/>
    <m/>
    <n v="72.5"/>
  </r>
  <r>
    <x v="1232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x v="1233"/>
    <d v="2025-03-01T00:00:00"/>
    <x v="1"/>
    <s v="East"/>
    <s v="Desktop"/>
    <s v="Social"/>
    <s v="Free"/>
    <n v="0"/>
    <n v="0"/>
    <n v="0"/>
    <n v="0"/>
    <n v="0"/>
    <n v="0"/>
    <n v="0"/>
    <m/>
    <n v="62.7"/>
  </r>
  <r>
    <x v="1234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x v="1235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x v="1236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x v="1237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x v="1238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x v="1239"/>
    <d v="2025-02-23T00:00:00"/>
    <x v="1"/>
    <s v="East"/>
    <s v="Mobile"/>
    <m/>
    <s v="Free"/>
    <n v="0"/>
    <n v="0"/>
    <n v="0"/>
    <n v="0"/>
    <n v="0"/>
    <n v="0"/>
    <n v="0"/>
    <m/>
    <n v="88"/>
  </r>
  <r>
    <x v="1240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x v="1241"/>
    <d v="2025-03-08T00:00:00"/>
    <x v="1"/>
    <s v="North"/>
    <s v="Tablet"/>
    <s v="Email"/>
    <s v="Basic"/>
    <n v="0"/>
    <n v="0"/>
    <n v="0"/>
    <n v="0"/>
    <n v="0"/>
    <n v="1"/>
    <n v="0"/>
    <m/>
    <n v="48.2"/>
  </r>
  <r>
    <x v="1242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x v="1243"/>
    <d v="2025-04-22T00:00:00"/>
    <x v="1"/>
    <s v="North"/>
    <s v="Mobile"/>
    <s v="Email"/>
    <s v="Basic"/>
    <n v="1"/>
    <n v="1"/>
    <n v="0"/>
    <n v="0"/>
    <n v="0"/>
    <n v="0"/>
    <n v="0"/>
    <m/>
    <n v="59.9"/>
  </r>
  <r>
    <x v="1244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x v="1245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x v="1246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x v="1247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x v="1248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x v="1249"/>
    <d v="2025-01-10T00:00:00"/>
    <x v="1"/>
    <s v="West"/>
    <s v="Desktop"/>
    <s v="Social"/>
    <s v="Free"/>
    <n v="1"/>
    <n v="0"/>
    <n v="0"/>
    <n v="0"/>
    <n v="0"/>
    <n v="0"/>
    <n v="0"/>
    <m/>
    <n v="54.6"/>
  </r>
  <r>
    <x v="1250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x v="1251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x v="1252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x v="1253"/>
    <d v="2025-05-02T00:00:00"/>
    <x v="1"/>
    <s v="West"/>
    <s v="Mobile"/>
    <s v="Social"/>
    <s v="Basic"/>
    <n v="0"/>
    <n v="0"/>
    <n v="0"/>
    <n v="0"/>
    <n v="0"/>
    <n v="0"/>
    <n v="0"/>
    <m/>
    <n v="87.5"/>
  </r>
  <r>
    <x v="1254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x v="1255"/>
    <d v="2025-01-27T00:00:00"/>
    <x v="1"/>
    <s v="East"/>
    <s v="Desktop"/>
    <m/>
    <s v="Free"/>
    <n v="1"/>
    <n v="1"/>
    <n v="1"/>
    <n v="1"/>
    <n v="420.27"/>
    <n v="0"/>
    <n v="0"/>
    <n v="6"/>
    <n v="58.4"/>
  </r>
  <r>
    <x v="1256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x v="1257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x v="1258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x v="1259"/>
    <d v="2025-03-21T00:00:00"/>
    <x v="1"/>
    <s v="North"/>
    <s v="Mobile"/>
    <s v="Organic"/>
    <s v="Free"/>
    <n v="1"/>
    <n v="0"/>
    <n v="0"/>
    <n v="0"/>
    <n v="0"/>
    <n v="0"/>
    <n v="0"/>
    <m/>
    <n v="37"/>
  </r>
  <r>
    <x v="1260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x v="1261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x v="1262"/>
    <d v="2025-02-18T00:00:00"/>
    <x v="1"/>
    <s v="North"/>
    <s v="Mobile"/>
    <s v="Social"/>
    <s v="Free"/>
    <n v="1"/>
    <n v="0"/>
    <n v="0"/>
    <n v="0"/>
    <n v="0"/>
    <n v="0"/>
    <n v="0"/>
    <m/>
    <n v="49.6"/>
  </r>
  <r>
    <x v="1263"/>
    <d v="2025-01-09T00:00:00"/>
    <x v="1"/>
    <s v="East"/>
    <s v="Mobile"/>
    <s v="Organic"/>
    <s v="Free"/>
    <n v="1"/>
    <n v="0"/>
    <n v="0"/>
    <n v="0"/>
    <n v="0"/>
    <n v="0"/>
    <n v="0"/>
    <m/>
    <n v="58"/>
  </r>
  <r>
    <x v="1264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x v="1265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x v="1266"/>
    <d v="2025-03-08T00:00:00"/>
    <x v="1"/>
    <s v="West"/>
    <s v="Mobile"/>
    <s v="Email"/>
    <s v="Free"/>
    <n v="1"/>
    <n v="0"/>
    <n v="0"/>
    <n v="0"/>
    <n v="0"/>
    <n v="0"/>
    <n v="0"/>
    <m/>
    <n v="72.7"/>
  </r>
  <r>
    <x v="1267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x v="1268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x v="1269"/>
    <d v="2025-03-16T00:00:00"/>
    <x v="1"/>
    <s v="East"/>
    <s v="Desktop"/>
    <s v="Social"/>
    <s v="Free"/>
    <n v="1"/>
    <n v="1"/>
    <n v="0"/>
    <n v="0"/>
    <n v="0"/>
    <n v="0"/>
    <n v="0"/>
    <m/>
    <n v="66.2"/>
  </r>
  <r>
    <x v="1270"/>
    <d v="2025-02-03T00:00:00"/>
    <x v="1"/>
    <s v="West"/>
    <m/>
    <s v="Referral"/>
    <s v="Basic"/>
    <n v="1"/>
    <n v="0"/>
    <n v="0"/>
    <n v="0"/>
    <n v="0"/>
    <n v="1"/>
    <n v="0"/>
    <m/>
    <n v="60.7"/>
  </r>
  <r>
    <x v="1271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x v="1272"/>
    <d v="2025-05-09T00:00:00"/>
    <x v="1"/>
    <s v="West"/>
    <s v="Mobile"/>
    <s v="Social"/>
    <s v="Free"/>
    <n v="1"/>
    <n v="1"/>
    <n v="1"/>
    <n v="0"/>
    <n v="0"/>
    <n v="3"/>
    <n v="0"/>
    <m/>
    <n v="69.7"/>
  </r>
  <r>
    <x v="1273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x v="1274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x v="1275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x v="1276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x v="1277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x v="1278"/>
    <d v="2025-02-10T00:00:00"/>
    <x v="1"/>
    <s v="East"/>
    <s v="Desktop"/>
    <s v="Social"/>
    <s v="Free"/>
    <n v="0"/>
    <n v="0"/>
    <n v="0"/>
    <n v="0"/>
    <n v="0"/>
    <n v="0"/>
    <n v="0"/>
    <m/>
    <n v="28.7"/>
  </r>
  <r>
    <x v="1279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x v="1280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x v="1281"/>
    <d v="2025-02-02T00:00:00"/>
    <x v="1"/>
    <s v="West"/>
    <s v="Desktop"/>
    <s v="Social"/>
    <s v="Free"/>
    <n v="1"/>
    <n v="1"/>
    <n v="0"/>
    <n v="0"/>
    <n v="0"/>
    <n v="0"/>
    <n v="0"/>
    <m/>
    <n v="62.6"/>
  </r>
  <r>
    <x v="1282"/>
    <d v="2025-02-02T00:00:00"/>
    <x v="1"/>
    <s v="West"/>
    <s v="Mobile"/>
    <s v="Organic"/>
    <s v="Free"/>
    <n v="0"/>
    <n v="0"/>
    <n v="0"/>
    <n v="0"/>
    <n v="0"/>
    <n v="1"/>
    <n v="0"/>
    <m/>
    <n v="54.1"/>
  </r>
  <r>
    <x v="1283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x v="1284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x v="1285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x v="1286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x v="1287"/>
    <d v="2025-03-10T00:00:00"/>
    <x v="1"/>
    <s v="East"/>
    <s v="Desktop"/>
    <s v="Organic"/>
    <s v="Free"/>
    <n v="0"/>
    <n v="0"/>
    <n v="0"/>
    <n v="0"/>
    <n v="0"/>
    <n v="0"/>
    <n v="0"/>
    <m/>
    <n v="100"/>
  </r>
  <r>
    <x v="1288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x v="1289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x v="1290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x v="1291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x v="1292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x v="1293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x v="1294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x v="1295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x v="1296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x v="1297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x v="1298"/>
    <d v="2025-05-17T00:00:00"/>
    <x v="1"/>
    <s v="West"/>
    <s v="Mobile"/>
    <s v="Organic"/>
    <s v="Free"/>
    <n v="0"/>
    <n v="0"/>
    <n v="0"/>
    <n v="0"/>
    <n v="0"/>
    <n v="3"/>
    <n v="0"/>
    <m/>
    <m/>
  </r>
  <r>
    <x v="1299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x v="1300"/>
    <d v="2025-05-04T00:00:00"/>
    <x v="1"/>
    <s v="West"/>
    <s v="Mobile"/>
    <s v="Social"/>
    <s v="Free"/>
    <n v="1"/>
    <n v="0"/>
    <n v="0"/>
    <n v="0"/>
    <n v="0"/>
    <n v="0"/>
    <n v="0"/>
    <m/>
    <n v="67.8"/>
  </r>
  <r>
    <x v="1301"/>
    <d v="2025-03-25T00:00:00"/>
    <x v="1"/>
    <s v="North"/>
    <s v="Mobile"/>
    <s v="Organic"/>
    <s v="Free"/>
    <n v="1"/>
    <n v="0"/>
    <n v="0"/>
    <n v="0"/>
    <n v="0"/>
    <n v="2"/>
    <n v="0"/>
    <m/>
    <n v="70"/>
  </r>
  <r>
    <x v="1302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x v="1303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x v="1304"/>
    <d v="2025-04-11T00:00:00"/>
    <x v="1"/>
    <s v="East"/>
    <s v="Mobile"/>
    <s v="Social"/>
    <s v="Free"/>
    <n v="0"/>
    <n v="0"/>
    <n v="0"/>
    <n v="0"/>
    <n v="0"/>
    <n v="1"/>
    <n v="0"/>
    <m/>
    <n v="47.1"/>
  </r>
  <r>
    <x v="1305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x v="1306"/>
    <d v="2025-02-12T00:00:00"/>
    <x v="1"/>
    <s v="West"/>
    <s v="Desktop"/>
    <s v="Social"/>
    <s v="Free"/>
    <n v="1"/>
    <n v="0"/>
    <n v="0"/>
    <n v="0"/>
    <n v="0"/>
    <n v="0"/>
    <n v="0"/>
    <m/>
    <n v="57.3"/>
  </r>
  <r>
    <x v="1307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x v="1308"/>
    <d v="2025-05-25T00:00:00"/>
    <x v="1"/>
    <s v="East"/>
    <s v="Desktop"/>
    <s v="Social"/>
    <s v="Free"/>
    <n v="1"/>
    <n v="1"/>
    <n v="1"/>
    <n v="0"/>
    <n v="0"/>
    <n v="0"/>
    <n v="0"/>
    <m/>
    <n v="59.7"/>
  </r>
  <r>
    <x v="1309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x v="1310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x v="1311"/>
    <d v="2025-01-19T00:00:00"/>
    <x v="1"/>
    <s v="West"/>
    <s v="Desktop"/>
    <s v="Email"/>
    <s v="Basic"/>
    <n v="0"/>
    <n v="0"/>
    <n v="0"/>
    <n v="0"/>
    <n v="0"/>
    <n v="0"/>
    <n v="0"/>
    <m/>
    <n v="83.4"/>
  </r>
  <r>
    <x v="1312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x v="1313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x v="1314"/>
    <d v="2025-01-08T00:00:00"/>
    <x v="1"/>
    <s v="East"/>
    <s v="Tablet"/>
    <m/>
    <s v="Premium"/>
    <n v="1"/>
    <n v="1"/>
    <n v="1"/>
    <n v="0"/>
    <n v="0"/>
    <n v="1"/>
    <n v="0"/>
    <m/>
    <n v="61.5"/>
  </r>
  <r>
    <x v="1315"/>
    <d v="2025-02-19T00:00:00"/>
    <x v="1"/>
    <s v="North"/>
    <s v="Mobile"/>
    <s v="Organic"/>
    <s v="Premium"/>
    <n v="0"/>
    <n v="0"/>
    <n v="0"/>
    <n v="0"/>
    <n v="0"/>
    <n v="0"/>
    <n v="0"/>
    <m/>
    <m/>
  </r>
  <r>
    <x v="1316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x v="1317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x v="1318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x v="1319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x v="1320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x v="1321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x v="1322"/>
    <d v="2025-02-03T00:00:00"/>
    <x v="1"/>
    <s v="North"/>
    <s v="Mobile"/>
    <s v="Email"/>
    <s v="Premium"/>
    <n v="0"/>
    <n v="0"/>
    <n v="0"/>
    <n v="0"/>
    <n v="0"/>
    <n v="0"/>
    <n v="0"/>
    <m/>
    <n v="90"/>
  </r>
  <r>
    <x v="1323"/>
    <d v="2025-02-26T00:00:00"/>
    <x v="1"/>
    <s v="South"/>
    <s v="Mobile"/>
    <s v="Email"/>
    <s v="Basic"/>
    <n v="1"/>
    <n v="0"/>
    <n v="0"/>
    <n v="0"/>
    <n v="0"/>
    <n v="1"/>
    <n v="0"/>
    <m/>
    <n v="68.8"/>
  </r>
  <r>
    <x v="1324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x v="1325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x v="1326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x v="1327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x v="1328"/>
    <d v="2025-03-29T00:00:00"/>
    <x v="1"/>
    <s v="East"/>
    <s v="Mobile"/>
    <s v="Organic"/>
    <s v="Free"/>
    <n v="0"/>
    <n v="0"/>
    <n v="0"/>
    <n v="0"/>
    <n v="0"/>
    <n v="0"/>
    <n v="0"/>
    <m/>
    <n v="46.1"/>
  </r>
  <r>
    <x v="1329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x v="1330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x v="1331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x v="1332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x v="1333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x v="1334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x v="1335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x v="1336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x v="1337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x v="1338"/>
    <d v="2025-04-20T00:00:00"/>
    <x v="1"/>
    <s v="West"/>
    <s v="Desktop"/>
    <s v="Organic"/>
    <s v="Free"/>
    <n v="1"/>
    <n v="0"/>
    <n v="0"/>
    <n v="0"/>
    <n v="0"/>
    <n v="0"/>
    <n v="0"/>
    <m/>
    <n v="67"/>
  </r>
  <r>
    <x v="1339"/>
    <d v="2025-03-10T00:00:00"/>
    <x v="1"/>
    <s v="South"/>
    <s v="Mobile"/>
    <s v="Email"/>
    <s v="Free"/>
    <n v="0"/>
    <n v="0"/>
    <n v="0"/>
    <n v="0"/>
    <n v="0"/>
    <n v="0"/>
    <n v="0"/>
    <m/>
    <n v="63.6"/>
  </r>
  <r>
    <x v="1340"/>
    <d v="2025-02-21T00:00:00"/>
    <x v="1"/>
    <s v="South"/>
    <s v="Mobile"/>
    <s v="Email"/>
    <s v="Free"/>
    <n v="1"/>
    <n v="1"/>
    <n v="0"/>
    <n v="0"/>
    <n v="0"/>
    <n v="1"/>
    <n v="0"/>
    <m/>
    <n v="58.4"/>
  </r>
  <r>
    <x v="1341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x v="1342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x v="1343"/>
    <d v="2025-05-23T00:00:00"/>
    <x v="1"/>
    <s v="South"/>
    <s v="Mobile"/>
    <s v="Email"/>
    <s v="Basic"/>
    <n v="1"/>
    <n v="1"/>
    <n v="0"/>
    <n v="0"/>
    <n v="0"/>
    <n v="1"/>
    <n v="0"/>
    <m/>
    <n v="79.7"/>
  </r>
  <r>
    <x v="1344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x v="1345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x v="1346"/>
    <d v="2025-01-03T00:00:00"/>
    <x v="1"/>
    <s v="South"/>
    <s v="Mobile"/>
    <s v="Social"/>
    <s v="Free"/>
    <n v="1"/>
    <n v="1"/>
    <n v="1"/>
    <n v="0"/>
    <n v="0"/>
    <n v="1"/>
    <n v="0"/>
    <m/>
    <n v="66"/>
  </r>
  <r>
    <x v="1347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x v="1348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x v="1349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x v="1350"/>
    <d v="2025-02-08T00:00:00"/>
    <x v="1"/>
    <s v="East"/>
    <s v="Mobile"/>
    <s v="Social"/>
    <s v="Free"/>
    <n v="0"/>
    <n v="0"/>
    <n v="0"/>
    <n v="0"/>
    <n v="0"/>
    <n v="1"/>
    <n v="0"/>
    <m/>
    <n v="90.5"/>
  </r>
  <r>
    <x v="1351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x v="1352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x v="1353"/>
    <d v="2025-05-04T00:00:00"/>
    <x v="1"/>
    <s v="East"/>
    <s v="Mobile"/>
    <s v="Organic"/>
    <s v="Free"/>
    <n v="0"/>
    <n v="0"/>
    <n v="0"/>
    <n v="0"/>
    <n v="0"/>
    <n v="0"/>
    <n v="0"/>
    <m/>
    <n v="54.5"/>
  </r>
  <r>
    <x v="1354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x v="1355"/>
    <d v="2025-03-01T00:00:00"/>
    <x v="1"/>
    <s v="North"/>
    <s v="Desktop"/>
    <m/>
    <s v="Free"/>
    <n v="1"/>
    <n v="1"/>
    <n v="1"/>
    <n v="0"/>
    <n v="0"/>
    <n v="0"/>
    <n v="0"/>
    <m/>
    <n v="84.3"/>
  </r>
  <r>
    <x v="1356"/>
    <d v="2025-02-20T00:00:00"/>
    <x v="1"/>
    <s v="West"/>
    <s v="Desktop"/>
    <s v="Organic"/>
    <s v="Free"/>
    <n v="1"/>
    <n v="0"/>
    <n v="0"/>
    <n v="0"/>
    <n v="0"/>
    <n v="1"/>
    <n v="0"/>
    <m/>
    <n v="55"/>
  </r>
  <r>
    <x v="1357"/>
    <d v="2025-05-09T00:00:00"/>
    <x v="1"/>
    <s v="West"/>
    <s v="Mobile"/>
    <s v="Social"/>
    <s v="Free"/>
    <n v="1"/>
    <n v="0"/>
    <n v="0"/>
    <n v="0"/>
    <n v="0"/>
    <n v="0"/>
    <n v="0"/>
    <m/>
    <n v="63.6"/>
  </r>
  <r>
    <x v="1358"/>
    <d v="2025-04-30T00:00:00"/>
    <x v="1"/>
    <s v="West"/>
    <s v="Mobile"/>
    <s v="Organic"/>
    <s v="Free"/>
    <n v="1"/>
    <n v="0"/>
    <n v="0"/>
    <n v="0"/>
    <n v="0"/>
    <n v="0"/>
    <n v="0"/>
    <m/>
    <n v="55.5"/>
  </r>
  <r>
    <x v="1359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x v="1360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x v="1361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x v="1362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x v="1363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x v="1364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x v="1365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x v="1366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x v="1367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x v="1368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x v="1369"/>
    <d v="2025-02-02T00:00:00"/>
    <x v="1"/>
    <s v="East"/>
    <s v="Mobile"/>
    <s v="Organic"/>
    <s v="Free"/>
    <n v="0"/>
    <n v="0"/>
    <n v="0"/>
    <n v="0"/>
    <n v="0"/>
    <n v="1"/>
    <n v="0"/>
    <m/>
    <n v="50.9"/>
  </r>
  <r>
    <x v="1370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x v="1371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x v="1372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x v="1373"/>
    <d v="2025-04-11T00:00:00"/>
    <x v="1"/>
    <s v="South"/>
    <s v="Mobile"/>
    <s v="Social"/>
    <s v="Free"/>
    <n v="1"/>
    <n v="0"/>
    <n v="0"/>
    <n v="0"/>
    <n v="0"/>
    <n v="0"/>
    <n v="0"/>
    <m/>
    <n v="31.2"/>
  </r>
  <r>
    <x v="1374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x v="1375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x v="1376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x v="1377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x v="1378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x v="1379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x v="1380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x v="1381"/>
    <d v="2025-04-29T00:00:00"/>
    <x v="1"/>
    <s v="West"/>
    <s v="Mobile"/>
    <s v="Email"/>
    <s v="Free"/>
    <n v="1"/>
    <n v="0"/>
    <n v="0"/>
    <n v="0"/>
    <n v="0"/>
    <n v="0"/>
    <n v="0"/>
    <m/>
    <n v="54.7"/>
  </r>
  <r>
    <x v="1382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x v="1383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x v="1384"/>
    <d v="2025-01-21T00:00:00"/>
    <x v="1"/>
    <s v="West"/>
    <s v="Mobile"/>
    <s v="Organic"/>
    <s v="Free"/>
    <n v="1"/>
    <n v="0"/>
    <n v="0"/>
    <n v="0"/>
    <n v="0"/>
    <n v="2"/>
    <n v="0"/>
    <m/>
    <n v="58.8"/>
  </r>
  <r>
    <x v="1385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x v="1386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x v="1387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x v="1388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x v="1389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x v="1390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x v="1391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x v="1392"/>
    <d v="2025-05-08T00:00:00"/>
    <x v="1"/>
    <s v="East"/>
    <s v="Mobile"/>
    <s v="Organic"/>
    <s v="Free"/>
    <n v="1"/>
    <n v="0"/>
    <n v="0"/>
    <n v="0"/>
    <n v="0"/>
    <n v="0"/>
    <n v="0"/>
    <m/>
    <n v="54"/>
  </r>
  <r>
    <x v="1393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x v="1394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x v="1395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x v="1396"/>
    <d v="2025-04-14T00:00:00"/>
    <x v="1"/>
    <s v="West"/>
    <s v="Mobile"/>
    <s v="Organic"/>
    <s v="Free"/>
    <n v="1"/>
    <n v="0"/>
    <n v="0"/>
    <n v="0"/>
    <n v="0"/>
    <n v="0"/>
    <n v="0"/>
    <m/>
    <n v="62.4"/>
  </r>
  <r>
    <x v="1397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x v="1398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x v="1399"/>
    <d v="2025-04-18T00:00:00"/>
    <x v="1"/>
    <s v="East"/>
    <s v="Desktop"/>
    <s v="Social"/>
    <s v="Free"/>
    <n v="0"/>
    <n v="0"/>
    <n v="0"/>
    <n v="0"/>
    <n v="0"/>
    <n v="0"/>
    <n v="0"/>
    <m/>
    <n v="55.7"/>
  </r>
  <r>
    <x v="916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x v="432"/>
    <d v="2025-02-03T00:00:00"/>
    <x v="0"/>
    <s v="North"/>
    <s v="Tablet"/>
    <s v="Email"/>
    <s v="Basic"/>
    <n v="1"/>
    <n v="0"/>
    <n v="0"/>
    <n v="0"/>
    <n v="0"/>
    <n v="0"/>
    <n v="0"/>
    <m/>
    <n v="60.9"/>
  </r>
  <r>
    <x v="1361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x v="95"/>
    <d v="2025-02-05T00:00:00"/>
    <x v="0"/>
    <s v="East"/>
    <s v="Mobile"/>
    <s v="Social"/>
    <s v="Free"/>
    <n v="0"/>
    <n v="0"/>
    <n v="0"/>
    <n v="0"/>
    <n v="0"/>
    <n v="0"/>
    <n v="0"/>
    <m/>
    <n v="68"/>
  </r>
  <r>
    <x v="1209"/>
    <d v="2025-02-24T00:00:00"/>
    <x v="1"/>
    <s v="West"/>
    <s v="Mobile"/>
    <s v="Organic"/>
    <s v="Basic"/>
    <n v="1"/>
    <n v="0"/>
    <n v="0"/>
    <n v="0"/>
    <n v="0"/>
    <n v="0"/>
    <n v="0"/>
    <m/>
    <n v="62"/>
  </r>
  <r>
    <x v="1231"/>
    <d v="2025-03-30T00:00:00"/>
    <x v="1"/>
    <s v="East"/>
    <s v="Mobile"/>
    <s v="Organic"/>
    <s v="Free"/>
    <n v="1"/>
    <n v="1"/>
    <n v="1"/>
    <n v="0"/>
    <n v="0"/>
    <n v="1"/>
    <n v="0"/>
    <m/>
    <n v="72.5"/>
  </r>
  <r>
    <x v="1058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x v="540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x v="1400"/>
    <m/>
    <x v="2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s v="North"/>
    <s v="Desktop"/>
    <s v="Email"/>
    <x v="0"/>
    <n v="0"/>
    <n v="0"/>
    <n v="0"/>
    <n v="0"/>
    <n v="0"/>
    <n v="0"/>
    <n v="0"/>
    <m/>
    <n v="45.7"/>
  </r>
  <r>
    <x v="1"/>
    <d v="2025-03-08T00:00:00"/>
    <x v="0"/>
    <s v="West"/>
    <s v="Mobile"/>
    <s v="Organic"/>
    <x v="1"/>
    <n v="1"/>
    <n v="0"/>
    <n v="0"/>
    <n v="0"/>
    <n v="0"/>
    <n v="0"/>
    <n v="0"/>
    <m/>
    <n v="48.6"/>
  </r>
  <r>
    <x v="2"/>
    <d v="2025-04-24T00:00:00"/>
    <x v="0"/>
    <s v="East"/>
    <s v="Mobile"/>
    <s v="Paid Search"/>
    <x v="2"/>
    <n v="1"/>
    <n v="0"/>
    <n v="0"/>
    <n v="0"/>
    <n v="0"/>
    <n v="1"/>
    <n v="0"/>
    <m/>
    <n v="35.4"/>
  </r>
  <r>
    <x v="3"/>
    <d v="2025-05-04T00:00:00"/>
    <x v="0"/>
    <s v="South"/>
    <s v="Mobile"/>
    <s v="Email"/>
    <x v="0"/>
    <n v="1"/>
    <n v="0"/>
    <n v="0"/>
    <n v="0"/>
    <n v="0"/>
    <n v="0"/>
    <n v="0"/>
    <m/>
    <n v="64.599999999999994"/>
  </r>
  <r>
    <x v="4"/>
    <d v="2025-02-12T00:00:00"/>
    <x v="0"/>
    <s v="North"/>
    <s v="Tablet"/>
    <s v="Organic"/>
    <x v="1"/>
    <n v="0"/>
    <n v="0"/>
    <n v="0"/>
    <n v="0"/>
    <n v="0"/>
    <n v="0"/>
    <n v="0"/>
    <m/>
    <n v="66.599999999999994"/>
  </r>
  <r>
    <x v="5"/>
    <d v="2025-01-28T00:00:00"/>
    <x v="0"/>
    <s v="East"/>
    <s v="Mobile"/>
    <s v="Organic"/>
    <x v="2"/>
    <n v="1"/>
    <n v="0"/>
    <n v="0"/>
    <n v="0"/>
    <n v="0"/>
    <n v="0"/>
    <n v="0"/>
    <m/>
    <n v="40.799999999999997"/>
  </r>
  <r>
    <x v="6"/>
    <d v="2025-04-08T00:00:00"/>
    <x v="0"/>
    <s v="East"/>
    <s v="Mobile"/>
    <s v="Paid Search"/>
    <x v="0"/>
    <n v="1"/>
    <n v="1"/>
    <n v="0"/>
    <n v="0"/>
    <n v="0"/>
    <n v="0"/>
    <n v="0"/>
    <m/>
    <n v="57.1"/>
  </r>
  <r>
    <x v="7"/>
    <d v="2025-05-17T00:00:00"/>
    <x v="0"/>
    <s v="South"/>
    <s v="Mobile"/>
    <s v="Paid Search"/>
    <x v="1"/>
    <n v="0"/>
    <n v="0"/>
    <n v="0"/>
    <n v="0"/>
    <n v="0"/>
    <n v="0"/>
    <n v="0"/>
    <m/>
    <n v="36.4"/>
  </r>
  <r>
    <x v="8"/>
    <d v="2025-02-23T00:00:00"/>
    <x v="0"/>
    <s v="South"/>
    <s v="Tablet"/>
    <s v="Referral"/>
    <x v="0"/>
    <n v="0"/>
    <n v="0"/>
    <n v="0"/>
    <n v="0"/>
    <n v="0"/>
    <n v="0"/>
    <n v="0"/>
    <m/>
    <n v="55.4"/>
  </r>
  <r>
    <x v="9"/>
    <d v="2025-05-29T00:00:00"/>
    <x v="0"/>
    <s v="West"/>
    <s v="Desktop"/>
    <s v="Social"/>
    <x v="1"/>
    <n v="1"/>
    <n v="0"/>
    <n v="0"/>
    <n v="0"/>
    <n v="0"/>
    <n v="0"/>
    <n v="0"/>
    <m/>
    <n v="57.3"/>
  </r>
  <r>
    <x v="10"/>
    <d v="2025-04-30T00:00:00"/>
    <x v="0"/>
    <s v="East"/>
    <s v="Mobile"/>
    <s v="Paid Search"/>
    <x v="0"/>
    <n v="1"/>
    <n v="1"/>
    <n v="1"/>
    <n v="0"/>
    <n v="0"/>
    <n v="0"/>
    <n v="0"/>
    <m/>
    <n v="63.6"/>
  </r>
  <r>
    <x v="11"/>
    <d v="2025-03-16T00:00:00"/>
    <x v="0"/>
    <s v="East"/>
    <s v="Mobile"/>
    <s v="Social"/>
    <x v="2"/>
    <n v="1"/>
    <n v="1"/>
    <n v="1"/>
    <n v="0"/>
    <n v="0"/>
    <n v="1"/>
    <n v="0"/>
    <m/>
    <n v="80.400000000000006"/>
  </r>
  <r>
    <x v="12"/>
    <d v="2025-02-07T00:00:00"/>
    <x v="0"/>
    <s v="South"/>
    <s v="Desktop"/>
    <s v="Email"/>
    <x v="0"/>
    <n v="1"/>
    <n v="0"/>
    <n v="0"/>
    <n v="0"/>
    <n v="0"/>
    <n v="0"/>
    <n v="0"/>
    <m/>
    <n v="62.4"/>
  </r>
  <r>
    <x v="13"/>
    <d v="2025-03-02T00:00:00"/>
    <x v="0"/>
    <s v="West"/>
    <s v="Mobile"/>
    <s v="Social"/>
    <x v="0"/>
    <n v="1"/>
    <n v="0"/>
    <n v="0"/>
    <n v="0"/>
    <n v="0"/>
    <n v="0"/>
    <n v="0"/>
    <m/>
    <n v="82.4"/>
  </r>
  <r>
    <x v="14"/>
    <d v="2025-05-30T00:00:00"/>
    <x v="0"/>
    <s v="South"/>
    <s v="Mobile"/>
    <s v="Organic"/>
    <x v="0"/>
    <n v="0"/>
    <n v="0"/>
    <n v="0"/>
    <n v="0"/>
    <n v="0"/>
    <n v="0"/>
    <n v="0"/>
    <m/>
    <n v="61.2"/>
  </r>
  <r>
    <x v="15"/>
    <d v="2025-03-25T00:00:00"/>
    <x v="0"/>
    <s v="South"/>
    <s v="Mobile"/>
    <s v="Social"/>
    <x v="0"/>
    <n v="1"/>
    <n v="0"/>
    <n v="0"/>
    <n v="0"/>
    <n v="0"/>
    <n v="0"/>
    <n v="0"/>
    <m/>
    <n v="68.900000000000006"/>
  </r>
  <r>
    <x v="16"/>
    <d v="2025-03-27T00:00:00"/>
    <x v="0"/>
    <s v="East"/>
    <s v="Desktop"/>
    <s v="Paid Search"/>
    <x v="1"/>
    <n v="1"/>
    <n v="1"/>
    <n v="1"/>
    <n v="0"/>
    <n v="0"/>
    <n v="0"/>
    <n v="0"/>
    <m/>
    <n v="71.900000000000006"/>
  </r>
  <r>
    <x v="17"/>
    <d v="2025-05-28T00:00:00"/>
    <x v="0"/>
    <s v="South"/>
    <s v="Desktop"/>
    <s v="Paid Search"/>
    <x v="1"/>
    <n v="0"/>
    <n v="0"/>
    <n v="0"/>
    <n v="0"/>
    <n v="0"/>
    <n v="0"/>
    <n v="0"/>
    <m/>
    <n v="50.5"/>
  </r>
  <r>
    <x v="18"/>
    <d v="2025-02-15T00:00:00"/>
    <x v="0"/>
    <s v="North"/>
    <s v="Desktop"/>
    <s v="Paid Search"/>
    <x v="0"/>
    <n v="0"/>
    <n v="0"/>
    <n v="0"/>
    <n v="0"/>
    <n v="0"/>
    <n v="0"/>
    <n v="0"/>
    <m/>
    <n v="49.3"/>
  </r>
  <r>
    <x v="19"/>
    <d v="2025-05-05T00:00:00"/>
    <x v="0"/>
    <s v="West"/>
    <s v="Desktop"/>
    <s v="Organic"/>
    <x v="0"/>
    <n v="0"/>
    <n v="0"/>
    <n v="0"/>
    <n v="0"/>
    <n v="0"/>
    <n v="2"/>
    <n v="0"/>
    <m/>
    <n v="60.9"/>
  </r>
  <r>
    <x v="20"/>
    <d v="2025-04-13T00:00:00"/>
    <x v="0"/>
    <s v="East"/>
    <s v="Mobile"/>
    <s v="Social"/>
    <x v="1"/>
    <n v="1"/>
    <n v="0"/>
    <n v="0"/>
    <n v="0"/>
    <n v="0"/>
    <n v="0"/>
    <n v="0"/>
    <m/>
    <n v="62.7"/>
  </r>
  <r>
    <x v="21"/>
    <d v="2025-05-07T00:00:00"/>
    <x v="0"/>
    <s v="North"/>
    <s v="Desktop"/>
    <s v="Paid Search"/>
    <x v="1"/>
    <n v="0"/>
    <n v="0"/>
    <n v="0"/>
    <n v="0"/>
    <n v="0"/>
    <n v="0"/>
    <n v="0"/>
    <m/>
    <n v="52.7"/>
  </r>
  <r>
    <x v="22"/>
    <d v="2025-05-25T00:00:00"/>
    <x v="0"/>
    <s v="North"/>
    <s v="Desktop"/>
    <s v="Organic"/>
    <x v="1"/>
    <n v="0"/>
    <n v="0"/>
    <n v="0"/>
    <n v="0"/>
    <n v="0"/>
    <n v="0"/>
    <n v="0"/>
    <m/>
    <n v="54"/>
  </r>
  <r>
    <x v="23"/>
    <d v="2025-04-01T00:00:00"/>
    <x v="0"/>
    <s v="East"/>
    <s v="Mobile"/>
    <s v="Paid Search"/>
    <x v="2"/>
    <n v="1"/>
    <n v="1"/>
    <n v="0"/>
    <n v="0"/>
    <n v="0"/>
    <n v="0"/>
    <n v="0"/>
    <m/>
    <n v="51.6"/>
  </r>
  <r>
    <x v="24"/>
    <d v="2025-02-22T00:00:00"/>
    <x v="0"/>
    <s v="North"/>
    <s v="Mobile"/>
    <s v="Paid Search"/>
    <x v="2"/>
    <n v="0"/>
    <n v="0"/>
    <n v="0"/>
    <n v="0"/>
    <n v="0"/>
    <n v="2"/>
    <n v="0"/>
    <m/>
    <n v="66.900000000000006"/>
  </r>
  <r>
    <x v="25"/>
    <d v="2025-03-24T00:00:00"/>
    <x v="0"/>
    <s v="East"/>
    <s v="Mobile"/>
    <s v="Organic"/>
    <x v="0"/>
    <n v="0"/>
    <n v="0"/>
    <n v="0"/>
    <n v="0"/>
    <n v="0"/>
    <n v="0"/>
    <n v="0"/>
    <m/>
    <n v="67.400000000000006"/>
  </r>
  <r>
    <x v="26"/>
    <d v="2025-02-13T00:00:00"/>
    <x v="0"/>
    <s v="North"/>
    <s v="Mobile"/>
    <s v="Organic"/>
    <x v="1"/>
    <n v="0"/>
    <n v="0"/>
    <n v="0"/>
    <n v="0"/>
    <n v="0"/>
    <n v="0"/>
    <n v="0"/>
    <m/>
    <n v="58.8"/>
  </r>
  <r>
    <x v="27"/>
    <d v="2025-05-30T00:00:00"/>
    <x v="0"/>
    <s v="South"/>
    <s v="Mobile"/>
    <s v="Organic"/>
    <x v="1"/>
    <n v="1"/>
    <n v="0"/>
    <n v="0"/>
    <n v="0"/>
    <n v="0"/>
    <n v="0"/>
    <n v="0"/>
    <m/>
    <n v="73.8"/>
  </r>
  <r>
    <x v="28"/>
    <d v="2025-01-20T00:00:00"/>
    <x v="0"/>
    <s v="East"/>
    <s v="Tablet"/>
    <s v="Organic"/>
    <x v="0"/>
    <n v="0"/>
    <n v="0"/>
    <n v="0"/>
    <n v="0"/>
    <n v="0"/>
    <n v="0"/>
    <n v="0"/>
    <m/>
    <n v="60.1"/>
  </r>
  <r>
    <x v="29"/>
    <d v="2025-05-19T00:00:00"/>
    <x v="0"/>
    <s v="East"/>
    <s v="Mobile"/>
    <s v="Social"/>
    <x v="0"/>
    <n v="1"/>
    <n v="1"/>
    <n v="1"/>
    <n v="0"/>
    <n v="0"/>
    <n v="0"/>
    <n v="0"/>
    <m/>
    <n v="41"/>
  </r>
  <r>
    <x v="30"/>
    <d v="2025-02-18T00:00:00"/>
    <x v="0"/>
    <s v="South"/>
    <s v="Mobile"/>
    <s v="Organic"/>
    <x v="0"/>
    <n v="1"/>
    <n v="0"/>
    <n v="0"/>
    <n v="0"/>
    <n v="0"/>
    <n v="0"/>
    <n v="0"/>
    <m/>
    <n v="80.3"/>
  </r>
  <r>
    <x v="31"/>
    <d v="2025-02-13T00:00:00"/>
    <x v="0"/>
    <s v="East"/>
    <s v="Mobile"/>
    <s v="Organic"/>
    <x v="1"/>
    <n v="0"/>
    <n v="0"/>
    <n v="0"/>
    <n v="0"/>
    <n v="0"/>
    <n v="0"/>
    <n v="0"/>
    <m/>
    <n v="67.599999999999994"/>
  </r>
  <r>
    <x v="32"/>
    <d v="2025-03-08T00:00:00"/>
    <x v="0"/>
    <s v="East"/>
    <s v="Desktop"/>
    <s v="Referral"/>
    <x v="2"/>
    <n v="0"/>
    <n v="0"/>
    <n v="0"/>
    <n v="0"/>
    <n v="0"/>
    <n v="0"/>
    <n v="0"/>
    <m/>
    <n v="64"/>
  </r>
  <r>
    <x v="33"/>
    <d v="2025-01-11T00:00:00"/>
    <x v="0"/>
    <s v="North"/>
    <s v="Mobile"/>
    <s v="Paid Search"/>
    <x v="1"/>
    <n v="1"/>
    <n v="1"/>
    <n v="0"/>
    <n v="0"/>
    <n v="0"/>
    <n v="0"/>
    <n v="0"/>
    <m/>
    <n v="27.2"/>
  </r>
  <r>
    <x v="34"/>
    <d v="2025-02-12T00:00:00"/>
    <x v="0"/>
    <s v="North"/>
    <s v="Desktop"/>
    <s v="Organic"/>
    <x v="1"/>
    <n v="1"/>
    <n v="0"/>
    <n v="0"/>
    <n v="0"/>
    <n v="0"/>
    <n v="0"/>
    <n v="0"/>
    <m/>
    <n v="85.4"/>
  </r>
  <r>
    <x v="35"/>
    <d v="2025-04-13T00:00:00"/>
    <x v="0"/>
    <s v="East"/>
    <s v="Desktop"/>
    <s v="Organic"/>
    <x v="0"/>
    <n v="1"/>
    <n v="0"/>
    <n v="0"/>
    <n v="0"/>
    <n v="0"/>
    <n v="0"/>
    <n v="0"/>
    <m/>
    <n v="75.900000000000006"/>
  </r>
  <r>
    <x v="36"/>
    <d v="2025-05-09T00:00:00"/>
    <x v="0"/>
    <s v="East"/>
    <s v="Mobile"/>
    <s v="Organic"/>
    <x v="2"/>
    <n v="1"/>
    <n v="0"/>
    <n v="0"/>
    <n v="0"/>
    <n v="0"/>
    <n v="1"/>
    <n v="0"/>
    <m/>
    <n v="34.799999999999997"/>
  </r>
  <r>
    <x v="37"/>
    <d v="2025-01-20T00:00:00"/>
    <x v="0"/>
    <s v="East"/>
    <s v="Mobile"/>
    <s v="Organic"/>
    <x v="1"/>
    <n v="1"/>
    <n v="1"/>
    <n v="1"/>
    <n v="0"/>
    <n v="0"/>
    <n v="3"/>
    <n v="0"/>
    <m/>
    <n v="48.9"/>
  </r>
  <r>
    <x v="38"/>
    <d v="2025-05-13T00:00:00"/>
    <x v="0"/>
    <s v="East"/>
    <s v="Mobile"/>
    <s v="Email"/>
    <x v="2"/>
    <n v="1"/>
    <n v="0"/>
    <n v="0"/>
    <n v="0"/>
    <n v="0"/>
    <n v="0"/>
    <n v="0"/>
    <m/>
    <n v="41.5"/>
  </r>
  <r>
    <x v="39"/>
    <d v="2025-04-07T00:00:00"/>
    <x v="0"/>
    <s v="North"/>
    <s v="Desktop"/>
    <s v="Organic"/>
    <x v="0"/>
    <n v="1"/>
    <n v="0"/>
    <n v="0"/>
    <n v="0"/>
    <n v="0"/>
    <n v="0"/>
    <n v="0"/>
    <m/>
    <n v="51.5"/>
  </r>
  <r>
    <x v="40"/>
    <d v="2025-03-31T00:00:00"/>
    <x v="0"/>
    <s v="North"/>
    <s v="Desktop"/>
    <s v="Organic"/>
    <x v="1"/>
    <n v="0"/>
    <n v="0"/>
    <n v="0"/>
    <n v="0"/>
    <n v="0"/>
    <n v="0"/>
    <n v="0"/>
    <m/>
    <n v="53.2"/>
  </r>
  <r>
    <x v="41"/>
    <d v="2025-01-25T00:00:00"/>
    <x v="0"/>
    <s v="East"/>
    <s v="Mobile"/>
    <s v="Email"/>
    <x v="2"/>
    <n v="0"/>
    <n v="0"/>
    <n v="0"/>
    <n v="0"/>
    <n v="0"/>
    <n v="0"/>
    <n v="0"/>
    <m/>
    <n v="55.6"/>
  </r>
  <r>
    <x v="42"/>
    <d v="2025-02-14T00:00:00"/>
    <x v="0"/>
    <s v="South"/>
    <s v="Desktop"/>
    <s v="Organic"/>
    <x v="1"/>
    <n v="0"/>
    <n v="0"/>
    <n v="0"/>
    <n v="0"/>
    <n v="0"/>
    <n v="0"/>
    <n v="0"/>
    <m/>
    <n v="73"/>
  </r>
  <r>
    <x v="43"/>
    <d v="2025-02-27T00:00:00"/>
    <x v="0"/>
    <s v="East"/>
    <s v="Mobile"/>
    <s v="Email"/>
    <x v="1"/>
    <n v="1"/>
    <n v="0"/>
    <n v="0"/>
    <n v="0"/>
    <n v="0"/>
    <n v="0"/>
    <n v="0"/>
    <m/>
    <n v="65"/>
  </r>
  <r>
    <x v="44"/>
    <d v="2025-03-28T00:00:00"/>
    <x v="0"/>
    <s v="East"/>
    <s v="Mobile"/>
    <s v="Social"/>
    <x v="1"/>
    <n v="1"/>
    <n v="0"/>
    <n v="0"/>
    <n v="0"/>
    <n v="0"/>
    <n v="4"/>
    <n v="0"/>
    <m/>
    <n v="56.3"/>
  </r>
  <r>
    <x v="45"/>
    <d v="2025-05-25T00:00:00"/>
    <x v="0"/>
    <s v="East"/>
    <s v="Mobile"/>
    <s v="Referral"/>
    <x v="2"/>
    <n v="1"/>
    <n v="0"/>
    <n v="0"/>
    <n v="0"/>
    <n v="0"/>
    <n v="0"/>
    <n v="0"/>
    <m/>
    <n v="62.4"/>
  </r>
  <r>
    <x v="46"/>
    <d v="2025-05-05T00:00:00"/>
    <x v="0"/>
    <s v="West"/>
    <s v="Desktop"/>
    <s v="Organic"/>
    <x v="1"/>
    <n v="1"/>
    <n v="1"/>
    <n v="1"/>
    <n v="0"/>
    <n v="0"/>
    <n v="0"/>
    <n v="0"/>
    <m/>
    <n v="58.1"/>
  </r>
  <r>
    <x v="47"/>
    <d v="2025-05-16T00:00:00"/>
    <x v="0"/>
    <s v="North"/>
    <s v="Mobile"/>
    <s v="Organic"/>
    <x v="1"/>
    <n v="1"/>
    <n v="1"/>
    <n v="1"/>
    <n v="0"/>
    <n v="0"/>
    <n v="0"/>
    <n v="0"/>
    <m/>
    <n v="80.8"/>
  </r>
  <r>
    <x v="48"/>
    <d v="2025-01-08T00:00:00"/>
    <x v="0"/>
    <s v="North"/>
    <s v="Mobile"/>
    <s v="Social"/>
    <x v="1"/>
    <n v="1"/>
    <n v="1"/>
    <n v="0"/>
    <n v="0"/>
    <n v="0"/>
    <n v="0"/>
    <n v="0"/>
    <m/>
    <n v="42.9"/>
  </r>
  <r>
    <x v="49"/>
    <d v="2025-01-06T00:00:00"/>
    <x v="0"/>
    <s v="West"/>
    <s v="Desktop"/>
    <s v="Paid Search"/>
    <x v="1"/>
    <n v="1"/>
    <n v="0"/>
    <n v="0"/>
    <n v="0"/>
    <n v="0"/>
    <n v="0"/>
    <n v="0"/>
    <m/>
    <n v="52.7"/>
  </r>
  <r>
    <x v="50"/>
    <d v="2025-01-12T00:00:00"/>
    <x v="0"/>
    <s v="North"/>
    <s v="Mobile"/>
    <s v="Social"/>
    <x v="0"/>
    <n v="0"/>
    <n v="0"/>
    <n v="0"/>
    <n v="0"/>
    <n v="0"/>
    <n v="0"/>
    <n v="0"/>
    <m/>
    <n v="46.9"/>
  </r>
  <r>
    <x v="51"/>
    <d v="2025-02-14T00:00:00"/>
    <x v="0"/>
    <s v="East"/>
    <s v="Desktop"/>
    <s v="Email"/>
    <x v="2"/>
    <n v="1"/>
    <n v="0"/>
    <n v="0"/>
    <n v="0"/>
    <n v="0"/>
    <n v="0"/>
    <n v="0"/>
    <m/>
    <n v="63"/>
  </r>
  <r>
    <x v="52"/>
    <d v="2025-03-10T00:00:00"/>
    <x v="0"/>
    <s v="South"/>
    <s v="Tablet"/>
    <s v="Organic"/>
    <x v="1"/>
    <n v="0"/>
    <n v="0"/>
    <n v="0"/>
    <n v="0"/>
    <n v="0"/>
    <n v="0"/>
    <n v="0"/>
    <m/>
    <n v="53.6"/>
  </r>
  <r>
    <x v="53"/>
    <d v="2025-04-20T00:00:00"/>
    <x v="0"/>
    <s v="West"/>
    <s v="Desktop"/>
    <s v="Organic"/>
    <x v="0"/>
    <n v="0"/>
    <n v="0"/>
    <n v="0"/>
    <n v="0"/>
    <n v="0"/>
    <n v="0"/>
    <n v="0"/>
    <m/>
    <n v="49.6"/>
  </r>
  <r>
    <x v="54"/>
    <d v="2025-02-19T00:00:00"/>
    <x v="0"/>
    <s v="South"/>
    <s v="Mobile"/>
    <s v="Organic"/>
    <x v="1"/>
    <n v="0"/>
    <n v="0"/>
    <n v="0"/>
    <n v="0"/>
    <n v="0"/>
    <n v="0"/>
    <n v="0"/>
    <m/>
    <n v="54"/>
  </r>
  <r>
    <x v="55"/>
    <d v="2025-05-17T00:00:00"/>
    <x v="0"/>
    <s v="South"/>
    <s v="Mobile"/>
    <s v="Social"/>
    <x v="0"/>
    <n v="1"/>
    <n v="0"/>
    <n v="0"/>
    <n v="0"/>
    <n v="0"/>
    <n v="2"/>
    <n v="0"/>
    <m/>
    <n v="50"/>
  </r>
  <r>
    <x v="56"/>
    <d v="2025-04-01T00:00:00"/>
    <x v="0"/>
    <s v="East"/>
    <s v="Mobile"/>
    <s v="Social"/>
    <x v="0"/>
    <n v="0"/>
    <n v="0"/>
    <n v="0"/>
    <n v="0"/>
    <n v="0"/>
    <n v="0"/>
    <n v="0"/>
    <m/>
    <n v="48.1"/>
  </r>
  <r>
    <x v="57"/>
    <d v="2025-02-04T00:00:00"/>
    <x v="0"/>
    <s v="North"/>
    <s v="Desktop"/>
    <s v="Organic"/>
    <x v="1"/>
    <n v="1"/>
    <n v="0"/>
    <n v="0"/>
    <n v="0"/>
    <n v="0"/>
    <n v="0"/>
    <n v="0"/>
    <m/>
    <n v="49.6"/>
  </r>
  <r>
    <x v="58"/>
    <d v="2025-04-14T00:00:00"/>
    <x v="0"/>
    <s v="North"/>
    <s v="Mobile"/>
    <s v="Social"/>
    <x v="1"/>
    <n v="0"/>
    <n v="0"/>
    <n v="0"/>
    <n v="0"/>
    <n v="0"/>
    <n v="2"/>
    <n v="0"/>
    <m/>
    <n v="48.9"/>
  </r>
  <r>
    <x v="59"/>
    <d v="2025-01-01T00:00:00"/>
    <x v="0"/>
    <s v="West"/>
    <s v="Mobile"/>
    <s v="Social"/>
    <x v="1"/>
    <n v="1"/>
    <n v="1"/>
    <n v="1"/>
    <n v="1"/>
    <n v="240.42"/>
    <n v="0"/>
    <n v="0"/>
    <n v="16"/>
    <n v="56.5"/>
  </r>
  <r>
    <x v="60"/>
    <d v="2025-04-02T00:00:00"/>
    <x v="0"/>
    <s v="South"/>
    <s v="Mobile"/>
    <s v="Referral"/>
    <x v="1"/>
    <n v="1"/>
    <n v="0"/>
    <n v="0"/>
    <n v="0"/>
    <n v="0"/>
    <n v="0"/>
    <n v="0"/>
    <m/>
    <n v="53.7"/>
  </r>
  <r>
    <x v="61"/>
    <d v="2025-03-29T00:00:00"/>
    <x v="0"/>
    <s v="North"/>
    <s v="Mobile"/>
    <s v="Social"/>
    <x v="2"/>
    <n v="0"/>
    <n v="0"/>
    <n v="0"/>
    <n v="0"/>
    <n v="0"/>
    <n v="0"/>
    <n v="0"/>
    <m/>
    <n v="62.2"/>
  </r>
  <r>
    <x v="62"/>
    <d v="2025-05-15T00:00:00"/>
    <x v="0"/>
    <s v="South"/>
    <s v="Desktop"/>
    <s v="Organic"/>
    <x v="1"/>
    <n v="1"/>
    <n v="0"/>
    <n v="0"/>
    <n v="0"/>
    <n v="0"/>
    <n v="0"/>
    <n v="0"/>
    <m/>
    <n v="50.2"/>
  </r>
  <r>
    <x v="63"/>
    <d v="2025-04-11T00:00:00"/>
    <x v="0"/>
    <s v="North"/>
    <s v="Mobile"/>
    <s v="Organic"/>
    <x v="0"/>
    <n v="1"/>
    <n v="0"/>
    <n v="0"/>
    <n v="0"/>
    <n v="0"/>
    <n v="0"/>
    <n v="0"/>
    <m/>
    <n v="74.3"/>
  </r>
  <r>
    <x v="64"/>
    <d v="2025-03-07T00:00:00"/>
    <x v="0"/>
    <s v="South"/>
    <s v="Desktop"/>
    <s v="Paid Search"/>
    <x v="1"/>
    <n v="1"/>
    <n v="0"/>
    <n v="0"/>
    <n v="0"/>
    <n v="0"/>
    <n v="0"/>
    <n v="0"/>
    <m/>
    <n v="58"/>
  </r>
  <r>
    <x v="65"/>
    <d v="2025-05-30T00:00:00"/>
    <x v="0"/>
    <s v="South"/>
    <s v="Mobile"/>
    <s v="Organic"/>
    <x v="1"/>
    <n v="0"/>
    <n v="0"/>
    <n v="0"/>
    <n v="0"/>
    <n v="0"/>
    <n v="0"/>
    <n v="0"/>
    <m/>
    <n v="46.7"/>
  </r>
  <r>
    <x v="66"/>
    <d v="2025-01-07T00:00:00"/>
    <x v="0"/>
    <s v="South"/>
    <s v="Desktop"/>
    <s v="Organic"/>
    <x v="2"/>
    <n v="1"/>
    <n v="0"/>
    <n v="0"/>
    <n v="0"/>
    <n v="0"/>
    <n v="1"/>
    <n v="0"/>
    <m/>
    <n v="49.6"/>
  </r>
  <r>
    <x v="67"/>
    <d v="2025-05-08T00:00:00"/>
    <x v="0"/>
    <s v="West"/>
    <s v="Mobile"/>
    <s v="Social"/>
    <x v="1"/>
    <n v="0"/>
    <n v="0"/>
    <n v="0"/>
    <n v="0"/>
    <n v="0"/>
    <n v="0"/>
    <n v="0"/>
    <m/>
    <n v="60.4"/>
  </r>
  <r>
    <x v="68"/>
    <d v="2025-03-19T00:00:00"/>
    <x v="0"/>
    <s v="East"/>
    <s v="Desktop"/>
    <s v="Email"/>
    <x v="1"/>
    <n v="1"/>
    <n v="1"/>
    <n v="1"/>
    <n v="0"/>
    <n v="0"/>
    <n v="0"/>
    <n v="0"/>
    <m/>
    <n v="55.3"/>
  </r>
  <r>
    <x v="69"/>
    <d v="2025-05-16T00:00:00"/>
    <x v="0"/>
    <s v="North"/>
    <s v="Desktop"/>
    <s v="Organic"/>
    <x v="1"/>
    <n v="0"/>
    <n v="0"/>
    <n v="0"/>
    <n v="0"/>
    <n v="0"/>
    <n v="0"/>
    <n v="0"/>
    <m/>
    <n v="56.2"/>
  </r>
  <r>
    <x v="70"/>
    <d v="2025-03-08T00:00:00"/>
    <x v="0"/>
    <s v="West"/>
    <s v="Mobile"/>
    <s v="Email"/>
    <x v="1"/>
    <n v="0"/>
    <n v="0"/>
    <n v="0"/>
    <n v="0"/>
    <n v="0"/>
    <n v="0"/>
    <n v="0"/>
    <m/>
    <n v="29.4"/>
  </r>
  <r>
    <x v="71"/>
    <d v="2025-03-08T00:00:00"/>
    <x v="0"/>
    <s v="East"/>
    <s v="Mobile"/>
    <s v="Email"/>
    <x v="1"/>
    <n v="1"/>
    <n v="0"/>
    <n v="0"/>
    <n v="0"/>
    <n v="0"/>
    <n v="0"/>
    <n v="0"/>
    <m/>
    <n v="54.2"/>
  </r>
  <r>
    <x v="72"/>
    <d v="2025-01-14T00:00:00"/>
    <x v="0"/>
    <s v="East"/>
    <s v="Desktop"/>
    <s v="Paid Search"/>
    <x v="0"/>
    <n v="0"/>
    <n v="0"/>
    <n v="0"/>
    <n v="0"/>
    <n v="0"/>
    <n v="0"/>
    <n v="0"/>
    <m/>
    <n v="46.4"/>
  </r>
  <r>
    <x v="73"/>
    <d v="2025-02-10T00:00:00"/>
    <x v="0"/>
    <s v="South"/>
    <s v="Mobile"/>
    <s v="Paid Search"/>
    <x v="0"/>
    <n v="0"/>
    <n v="0"/>
    <n v="0"/>
    <n v="0"/>
    <n v="0"/>
    <n v="0"/>
    <n v="0"/>
    <m/>
    <n v="54.5"/>
  </r>
  <r>
    <x v="74"/>
    <d v="2025-03-17T00:00:00"/>
    <x v="0"/>
    <s v="North"/>
    <s v="Mobile"/>
    <s v="Organic"/>
    <x v="1"/>
    <n v="0"/>
    <n v="0"/>
    <n v="0"/>
    <n v="0"/>
    <n v="0"/>
    <n v="0"/>
    <n v="0"/>
    <m/>
    <n v="58.5"/>
  </r>
  <r>
    <x v="75"/>
    <d v="2025-01-09T00:00:00"/>
    <x v="0"/>
    <s v="South"/>
    <s v="Mobile"/>
    <s v="Email"/>
    <x v="1"/>
    <n v="0"/>
    <n v="0"/>
    <n v="0"/>
    <n v="0"/>
    <n v="0"/>
    <n v="0"/>
    <n v="0"/>
    <m/>
    <n v="75.900000000000006"/>
  </r>
  <r>
    <x v="76"/>
    <d v="2025-04-17T00:00:00"/>
    <x v="0"/>
    <s v="North"/>
    <s v="Mobile"/>
    <s v="Referral"/>
    <x v="1"/>
    <n v="0"/>
    <n v="0"/>
    <n v="0"/>
    <n v="0"/>
    <n v="0"/>
    <n v="1"/>
    <n v="0"/>
    <m/>
    <n v="84.9"/>
  </r>
  <r>
    <x v="77"/>
    <d v="2025-01-16T00:00:00"/>
    <x v="0"/>
    <s v="North"/>
    <s v="Mobile"/>
    <s v="Organic"/>
    <x v="1"/>
    <n v="0"/>
    <n v="0"/>
    <n v="0"/>
    <n v="0"/>
    <n v="0"/>
    <n v="2"/>
    <n v="0"/>
    <m/>
    <n v="48.4"/>
  </r>
  <r>
    <x v="78"/>
    <d v="2025-02-20T00:00:00"/>
    <x v="0"/>
    <s v="West"/>
    <s v="Desktop"/>
    <s v="Organic"/>
    <x v="1"/>
    <n v="1"/>
    <n v="1"/>
    <n v="1"/>
    <n v="1"/>
    <n v="457.51"/>
    <n v="0"/>
    <n v="0"/>
    <n v="7"/>
    <n v="38"/>
  </r>
  <r>
    <x v="79"/>
    <d v="2025-05-21T00:00:00"/>
    <x v="0"/>
    <s v="East"/>
    <s v="Mobile"/>
    <s v="Social"/>
    <x v="1"/>
    <n v="1"/>
    <n v="0"/>
    <n v="0"/>
    <n v="0"/>
    <n v="0"/>
    <n v="0"/>
    <n v="0"/>
    <m/>
    <n v="44.2"/>
  </r>
  <r>
    <x v="80"/>
    <d v="2025-05-08T00:00:00"/>
    <x v="0"/>
    <s v="South"/>
    <s v="Mobile"/>
    <s v="Organic"/>
    <x v="1"/>
    <n v="1"/>
    <n v="1"/>
    <n v="1"/>
    <n v="0"/>
    <n v="0"/>
    <n v="0"/>
    <n v="0"/>
    <m/>
    <n v="81.2"/>
  </r>
  <r>
    <x v="81"/>
    <d v="2025-03-08T00:00:00"/>
    <x v="0"/>
    <s v="South"/>
    <s v="Mobile"/>
    <s v="Referral"/>
    <x v="1"/>
    <n v="1"/>
    <n v="1"/>
    <n v="0"/>
    <n v="0"/>
    <n v="0"/>
    <n v="0"/>
    <n v="0"/>
    <m/>
    <n v="63.8"/>
  </r>
  <r>
    <x v="82"/>
    <d v="2025-04-01T00:00:00"/>
    <x v="0"/>
    <s v="South"/>
    <s v="Desktop"/>
    <s v="Email"/>
    <x v="1"/>
    <n v="0"/>
    <n v="0"/>
    <n v="0"/>
    <n v="0"/>
    <n v="0"/>
    <n v="0"/>
    <n v="0"/>
    <m/>
    <n v="64.7"/>
  </r>
  <r>
    <x v="83"/>
    <d v="2025-03-03T00:00:00"/>
    <x v="0"/>
    <s v="West"/>
    <s v="Mobile"/>
    <s v="Social"/>
    <x v="0"/>
    <n v="0"/>
    <n v="0"/>
    <n v="0"/>
    <n v="0"/>
    <n v="0"/>
    <n v="0"/>
    <n v="0"/>
    <m/>
    <n v="60.4"/>
  </r>
  <r>
    <x v="84"/>
    <d v="2025-04-16T00:00:00"/>
    <x v="0"/>
    <s v="South"/>
    <s v="Mobile"/>
    <s v="Paid Search"/>
    <x v="1"/>
    <n v="0"/>
    <n v="0"/>
    <n v="0"/>
    <n v="0"/>
    <n v="0"/>
    <n v="0"/>
    <n v="0"/>
    <m/>
    <n v="66.599999999999994"/>
  </r>
  <r>
    <x v="85"/>
    <d v="2025-01-09T00:00:00"/>
    <x v="0"/>
    <s v="North"/>
    <s v="Desktop"/>
    <s v="Organic"/>
    <x v="1"/>
    <n v="1"/>
    <n v="0"/>
    <n v="0"/>
    <n v="0"/>
    <n v="0"/>
    <n v="0"/>
    <n v="0"/>
    <m/>
    <n v="50.9"/>
  </r>
  <r>
    <x v="86"/>
    <d v="2025-01-22T00:00:00"/>
    <x v="0"/>
    <s v="West"/>
    <s v="Desktop"/>
    <s v="Social"/>
    <x v="0"/>
    <n v="0"/>
    <n v="0"/>
    <n v="0"/>
    <n v="0"/>
    <n v="0"/>
    <n v="0"/>
    <n v="0"/>
    <m/>
    <n v="51"/>
  </r>
  <r>
    <x v="87"/>
    <d v="2025-04-30T00:00:00"/>
    <x v="0"/>
    <s v="South"/>
    <s v="Mobile"/>
    <s v="Email"/>
    <x v="2"/>
    <n v="0"/>
    <n v="0"/>
    <n v="0"/>
    <n v="0"/>
    <n v="0"/>
    <n v="0"/>
    <n v="0"/>
    <m/>
    <n v="65.8"/>
  </r>
  <r>
    <x v="88"/>
    <d v="2025-04-25T00:00:00"/>
    <x v="0"/>
    <s v="North"/>
    <s v="Mobile"/>
    <s v="Referral"/>
    <x v="0"/>
    <n v="1"/>
    <n v="0"/>
    <n v="0"/>
    <n v="0"/>
    <n v="0"/>
    <n v="0"/>
    <n v="0"/>
    <m/>
    <n v="61.8"/>
  </r>
  <r>
    <x v="89"/>
    <d v="2025-02-01T00:00:00"/>
    <x v="0"/>
    <s v="North"/>
    <s v="Mobile"/>
    <s v="Organic"/>
    <x v="0"/>
    <n v="1"/>
    <n v="0"/>
    <n v="0"/>
    <n v="0"/>
    <n v="0"/>
    <n v="0"/>
    <n v="0"/>
    <m/>
    <n v="54.5"/>
  </r>
  <r>
    <x v="90"/>
    <d v="2025-04-23T00:00:00"/>
    <x v="0"/>
    <s v="South"/>
    <s v="Desktop"/>
    <s v="Organic"/>
    <x v="1"/>
    <n v="1"/>
    <n v="0"/>
    <n v="0"/>
    <n v="0"/>
    <n v="0"/>
    <n v="0"/>
    <n v="0"/>
    <m/>
    <n v="72.2"/>
  </r>
  <r>
    <x v="91"/>
    <d v="2025-02-27T00:00:00"/>
    <x v="0"/>
    <s v="South"/>
    <s v="Mobile"/>
    <s v="Social"/>
    <x v="1"/>
    <n v="1"/>
    <n v="0"/>
    <n v="0"/>
    <n v="0"/>
    <n v="0"/>
    <n v="0"/>
    <n v="0"/>
    <m/>
    <n v="42.3"/>
  </r>
  <r>
    <x v="92"/>
    <d v="2025-04-09T00:00:00"/>
    <x v="0"/>
    <s v="East"/>
    <s v="Desktop"/>
    <s v="Organic"/>
    <x v="0"/>
    <n v="1"/>
    <n v="0"/>
    <n v="0"/>
    <n v="0"/>
    <n v="0"/>
    <n v="0"/>
    <n v="0"/>
    <m/>
    <n v="76.2"/>
  </r>
  <r>
    <x v="93"/>
    <d v="2025-05-13T00:00:00"/>
    <x v="0"/>
    <s v="South"/>
    <s v="Tablet"/>
    <s v="Organic"/>
    <x v="2"/>
    <n v="1"/>
    <n v="1"/>
    <n v="1"/>
    <n v="0"/>
    <n v="0"/>
    <n v="1"/>
    <n v="0"/>
    <m/>
    <n v="37.4"/>
  </r>
  <r>
    <x v="94"/>
    <d v="2025-04-13T00:00:00"/>
    <x v="0"/>
    <s v="East"/>
    <s v="Mobile"/>
    <s v="Organic"/>
    <x v="1"/>
    <n v="0"/>
    <n v="0"/>
    <n v="0"/>
    <n v="0"/>
    <n v="0"/>
    <n v="0"/>
    <n v="0"/>
    <m/>
    <n v="84.2"/>
  </r>
  <r>
    <x v="95"/>
    <d v="2025-02-05T00:00:00"/>
    <x v="0"/>
    <s v="East"/>
    <s v="Mobile"/>
    <s v="Social"/>
    <x v="1"/>
    <n v="0"/>
    <n v="0"/>
    <n v="0"/>
    <n v="0"/>
    <n v="0"/>
    <n v="0"/>
    <n v="0"/>
    <m/>
    <n v="68"/>
  </r>
  <r>
    <x v="96"/>
    <d v="2025-02-14T00:00:00"/>
    <x v="0"/>
    <s v="West"/>
    <s v="Mobile"/>
    <s v="Organic"/>
    <x v="0"/>
    <n v="1"/>
    <n v="0"/>
    <n v="0"/>
    <n v="0"/>
    <n v="0"/>
    <n v="0"/>
    <n v="0"/>
    <m/>
    <n v="53.5"/>
  </r>
  <r>
    <x v="97"/>
    <d v="2025-02-11T00:00:00"/>
    <x v="0"/>
    <s v="North"/>
    <s v="Desktop"/>
    <s v="Organic"/>
    <x v="2"/>
    <n v="1"/>
    <n v="0"/>
    <n v="0"/>
    <n v="0"/>
    <n v="0"/>
    <n v="0"/>
    <n v="0"/>
    <m/>
    <n v="63.2"/>
  </r>
  <r>
    <x v="98"/>
    <d v="2025-02-11T00:00:00"/>
    <x v="0"/>
    <s v="East"/>
    <s v="Desktop"/>
    <s v="Social"/>
    <x v="1"/>
    <n v="1"/>
    <n v="1"/>
    <n v="1"/>
    <n v="1"/>
    <n v="363.32"/>
    <n v="0"/>
    <n v="0"/>
    <n v="9"/>
    <n v="55.9"/>
  </r>
  <r>
    <x v="99"/>
    <d v="2025-05-26T00:00:00"/>
    <x v="0"/>
    <s v="North"/>
    <s v="Mobile"/>
    <s v="Organic"/>
    <x v="1"/>
    <n v="1"/>
    <n v="0"/>
    <n v="0"/>
    <n v="0"/>
    <n v="0"/>
    <n v="0"/>
    <n v="0"/>
    <m/>
    <n v="63.5"/>
  </r>
  <r>
    <x v="100"/>
    <d v="2025-03-22T00:00:00"/>
    <x v="0"/>
    <s v="North"/>
    <s v="Mobile"/>
    <s v="Paid Search"/>
    <x v="0"/>
    <n v="1"/>
    <n v="0"/>
    <n v="0"/>
    <n v="0"/>
    <n v="0"/>
    <n v="0"/>
    <n v="0"/>
    <m/>
    <n v="51.5"/>
  </r>
  <r>
    <x v="101"/>
    <d v="2025-04-08T00:00:00"/>
    <x v="0"/>
    <s v="West"/>
    <s v="Mobile"/>
    <s v="Paid Search"/>
    <x v="1"/>
    <n v="1"/>
    <n v="0"/>
    <n v="0"/>
    <n v="0"/>
    <n v="0"/>
    <n v="0"/>
    <n v="0"/>
    <m/>
    <n v="74.400000000000006"/>
  </r>
  <r>
    <x v="102"/>
    <d v="2025-04-14T00:00:00"/>
    <x v="0"/>
    <s v="North"/>
    <s v="Desktop"/>
    <s v="Social"/>
    <x v="1"/>
    <n v="1"/>
    <n v="1"/>
    <n v="1"/>
    <n v="1"/>
    <n v="3887.98"/>
    <n v="0"/>
    <n v="0"/>
    <n v="13"/>
    <n v="60.2"/>
  </r>
  <r>
    <x v="103"/>
    <d v="2025-03-27T00:00:00"/>
    <x v="0"/>
    <s v="South"/>
    <s v="Mobile"/>
    <s v="Email"/>
    <x v="1"/>
    <n v="1"/>
    <n v="0"/>
    <n v="0"/>
    <n v="0"/>
    <n v="0"/>
    <n v="1"/>
    <n v="0"/>
    <m/>
    <n v="67.2"/>
  </r>
  <r>
    <x v="104"/>
    <d v="2025-01-05T00:00:00"/>
    <x v="0"/>
    <s v="South"/>
    <s v="Mobile"/>
    <s v="Social"/>
    <x v="1"/>
    <n v="1"/>
    <n v="1"/>
    <n v="1"/>
    <n v="0"/>
    <n v="0"/>
    <n v="0"/>
    <n v="0"/>
    <m/>
    <n v="79.599999999999994"/>
  </r>
  <r>
    <x v="105"/>
    <d v="2025-01-25T00:00:00"/>
    <x v="0"/>
    <s v="South"/>
    <s v="Mobile"/>
    <s v="Social"/>
    <x v="0"/>
    <n v="1"/>
    <n v="1"/>
    <n v="1"/>
    <n v="1"/>
    <n v="8610.7199999999993"/>
    <n v="0"/>
    <n v="0"/>
    <n v="6"/>
    <n v="61"/>
  </r>
  <r>
    <x v="106"/>
    <d v="2025-01-23T00:00:00"/>
    <x v="0"/>
    <s v="West"/>
    <s v="Mobile"/>
    <s v="Email"/>
    <x v="1"/>
    <n v="1"/>
    <n v="1"/>
    <n v="1"/>
    <n v="0"/>
    <n v="0"/>
    <n v="4"/>
    <n v="0"/>
    <m/>
    <n v="51.1"/>
  </r>
  <r>
    <x v="107"/>
    <d v="2025-05-25T00:00:00"/>
    <x v="0"/>
    <s v="East"/>
    <s v="Desktop"/>
    <s v="Referral"/>
    <x v="1"/>
    <n v="1"/>
    <n v="0"/>
    <n v="0"/>
    <n v="0"/>
    <n v="0"/>
    <n v="0"/>
    <n v="0"/>
    <m/>
    <n v="92.1"/>
  </r>
  <r>
    <x v="108"/>
    <d v="2025-03-22T00:00:00"/>
    <x v="0"/>
    <s v="South"/>
    <s v="Mobile"/>
    <s v="Referral"/>
    <x v="0"/>
    <n v="0"/>
    <n v="0"/>
    <n v="0"/>
    <n v="0"/>
    <n v="0"/>
    <n v="0"/>
    <n v="0"/>
    <m/>
    <n v="82.1"/>
  </r>
  <r>
    <x v="109"/>
    <d v="2025-02-12T00:00:00"/>
    <x v="0"/>
    <s v="West"/>
    <s v="Desktop"/>
    <s v="Paid Search"/>
    <x v="0"/>
    <n v="1"/>
    <n v="0"/>
    <n v="0"/>
    <n v="0"/>
    <n v="0"/>
    <n v="1"/>
    <n v="0"/>
    <m/>
    <n v="74"/>
  </r>
  <r>
    <x v="110"/>
    <d v="2025-04-28T00:00:00"/>
    <x v="0"/>
    <s v="West"/>
    <s v="Desktop"/>
    <s v="Organic"/>
    <x v="0"/>
    <n v="1"/>
    <n v="0"/>
    <n v="0"/>
    <n v="0"/>
    <n v="0"/>
    <n v="0"/>
    <n v="0"/>
    <m/>
    <n v="63.4"/>
  </r>
  <r>
    <x v="111"/>
    <d v="2025-01-30T00:00:00"/>
    <x v="0"/>
    <s v="North"/>
    <s v="Mobile"/>
    <s v="Organic"/>
    <x v="0"/>
    <n v="1"/>
    <n v="0"/>
    <n v="0"/>
    <n v="0"/>
    <n v="0"/>
    <n v="0"/>
    <n v="0"/>
    <m/>
    <n v="53.2"/>
  </r>
  <r>
    <x v="112"/>
    <d v="2025-05-19T00:00:00"/>
    <x v="0"/>
    <s v="East"/>
    <s v="Tablet"/>
    <s v="Paid Search"/>
    <x v="1"/>
    <n v="0"/>
    <n v="0"/>
    <n v="0"/>
    <n v="0"/>
    <n v="0"/>
    <n v="0"/>
    <n v="0"/>
    <m/>
    <n v="48.1"/>
  </r>
  <r>
    <x v="113"/>
    <d v="2025-01-23T00:00:00"/>
    <x v="0"/>
    <s v="South"/>
    <s v="Mobile"/>
    <s v="Social"/>
    <x v="1"/>
    <n v="1"/>
    <n v="1"/>
    <n v="0"/>
    <n v="0"/>
    <n v="0"/>
    <n v="0"/>
    <n v="0"/>
    <m/>
    <n v="61.5"/>
  </r>
  <r>
    <x v="114"/>
    <d v="2025-03-28T00:00:00"/>
    <x v="0"/>
    <s v="East"/>
    <s v="Desktop"/>
    <s v="Social"/>
    <x v="1"/>
    <n v="1"/>
    <n v="0"/>
    <n v="0"/>
    <n v="0"/>
    <n v="0"/>
    <n v="0"/>
    <n v="0"/>
    <m/>
    <n v="63.2"/>
  </r>
  <r>
    <x v="115"/>
    <d v="2025-01-11T00:00:00"/>
    <x v="0"/>
    <s v="West"/>
    <s v="Mobile"/>
    <s v="Organic"/>
    <x v="1"/>
    <n v="0"/>
    <n v="0"/>
    <n v="0"/>
    <n v="0"/>
    <n v="0"/>
    <n v="0"/>
    <n v="0"/>
    <m/>
    <n v="71.900000000000006"/>
  </r>
  <r>
    <x v="116"/>
    <d v="2025-04-11T00:00:00"/>
    <x v="0"/>
    <s v="North"/>
    <s v="Mobile"/>
    <s v="Referral"/>
    <x v="1"/>
    <n v="0"/>
    <n v="0"/>
    <n v="0"/>
    <n v="0"/>
    <n v="0"/>
    <n v="0"/>
    <n v="0"/>
    <m/>
    <n v="62.7"/>
  </r>
  <r>
    <x v="117"/>
    <d v="2025-01-02T00:00:00"/>
    <x v="0"/>
    <s v="West"/>
    <s v="Mobile"/>
    <s v="Paid Search"/>
    <x v="1"/>
    <n v="1"/>
    <n v="0"/>
    <n v="0"/>
    <n v="0"/>
    <n v="0"/>
    <n v="0"/>
    <n v="0"/>
    <m/>
    <n v="51.5"/>
  </r>
  <r>
    <x v="118"/>
    <d v="2025-03-18T00:00:00"/>
    <x v="0"/>
    <s v="East"/>
    <s v="Mobile"/>
    <s v="Social"/>
    <x v="1"/>
    <n v="1"/>
    <n v="1"/>
    <n v="1"/>
    <n v="0"/>
    <n v="0"/>
    <n v="0"/>
    <n v="0"/>
    <m/>
    <n v="39.1"/>
  </r>
  <r>
    <x v="119"/>
    <d v="2025-03-31T00:00:00"/>
    <x v="0"/>
    <s v="North"/>
    <s v="Mobile"/>
    <s v="Email"/>
    <x v="1"/>
    <n v="1"/>
    <n v="0"/>
    <n v="0"/>
    <n v="0"/>
    <n v="0"/>
    <n v="0"/>
    <n v="0"/>
    <m/>
    <n v="43.8"/>
  </r>
  <r>
    <x v="120"/>
    <d v="2025-01-06T00:00:00"/>
    <x v="0"/>
    <s v="North"/>
    <s v="Mobile"/>
    <s v="Paid Search"/>
    <x v="0"/>
    <n v="1"/>
    <n v="0"/>
    <n v="0"/>
    <n v="0"/>
    <n v="0"/>
    <n v="0"/>
    <n v="0"/>
    <m/>
    <n v="59.9"/>
  </r>
  <r>
    <x v="121"/>
    <d v="2025-01-26T00:00:00"/>
    <x v="0"/>
    <s v="North"/>
    <s v="Mobile"/>
    <s v="Referral"/>
    <x v="1"/>
    <n v="1"/>
    <n v="1"/>
    <n v="0"/>
    <n v="0"/>
    <n v="0"/>
    <n v="0"/>
    <n v="0"/>
    <m/>
    <n v="71.400000000000006"/>
  </r>
  <r>
    <x v="122"/>
    <d v="2025-04-22T00:00:00"/>
    <x v="0"/>
    <s v="South"/>
    <s v="Mobile"/>
    <s v="Referral"/>
    <x v="0"/>
    <n v="0"/>
    <n v="0"/>
    <n v="0"/>
    <n v="0"/>
    <n v="0"/>
    <n v="0"/>
    <n v="0"/>
    <m/>
    <n v="36.1"/>
  </r>
  <r>
    <x v="123"/>
    <d v="2025-05-30T00:00:00"/>
    <x v="0"/>
    <s v="West"/>
    <m/>
    <s v="Email"/>
    <x v="0"/>
    <n v="1"/>
    <n v="1"/>
    <n v="0"/>
    <n v="0"/>
    <n v="0"/>
    <n v="0"/>
    <n v="0"/>
    <m/>
    <n v="47.9"/>
  </r>
  <r>
    <x v="124"/>
    <d v="2025-05-18T00:00:00"/>
    <x v="0"/>
    <s v="West"/>
    <s v="Desktop"/>
    <s v="Organic"/>
    <x v="2"/>
    <n v="1"/>
    <n v="0"/>
    <n v="0"/>
    <n v="0"/>
    <n v="0"/>
    <n v="0"/>
    <n v="0"/>
    <m/>
    <n v="62.5"/>
  </r>
  <r>
    <x v="125"/>
    <d v="2025-01-13T00:00:00"/>
    <x v="0"/>
    <s v="South"/>
    <s v="Desktop"/>
    <s v="Paid Search"/>
    <x v="2"/>
    <n v="1"/>
    <n v="0"/>
    <n v="0"/>
    <n v="0"/>
    <n v="0"/>
    <n v="0"/>
    <n v="0"/>
    <m/>
    <n v="56.9"/>
  </r>
  <r>
    <x v="126"/>
    <d v="2025-03-25T00:00:00"/>
    <x v="0"/>
    <s v="North"/>
    <s v="Desktop"/>
    <s v="Email"/>
    <x v="1"/>
    <n v="0"/>
    <n v="0"/>
    <n v="0"/>
    <n v="0"/>
    <n v="0"/>
    <n v="0"/>
    <n v="0"/>
    <m/>
    <n v="64.7"/>
  </r>
  <r>
    <x v="127"/>
    <d v="2025-04-29T00:00:00"/>
    <x v="0"/>
    <s v="South"/>
    <s v="Desktop"/>
    <s v="Organic"/>
    <x v="1"/>
    <n v="1"/>
    <n v="1"/>
    <n v="1"/>
    <n v="0"/>
    <n v="0"/>
    <n v="0"/>
    <n v="0"/>
    <m/>
    <n v="64"/>
  </r>
  <r>
    <x v="128"/>
    <d v="2025-05-17T00:00:00"/>
    <x v="0"/>
    <s v="East"/>
    <s v="Mobile"/>
    <s v="Referral"/>
    <x v="0"/>
    <n v="1"/>
    <n v="1"/>
    <n v="1"/>
    <n v="0"/>
    <n v="0"/>
    <n v="0"/>
    <n v="0"/>
    <m/>
    <n v="75.2"/>
  </r>
  <r>
    <x v="129"/>
    <d v="2025-01-02T00:00:00"/>
    <x v="0"/>
    <s v="North"/>
    <s v="Mobile"/>
    <s v="Paid Search"/>
    <x v="1"/>
    <n v="1"/>
    <n v="0"/>
    <n v="0"/>
    <n v="0"/>
    <n v="0"/>
    <n v="1"/>
    <n v="0"/>
    <m/>
    <n v="79"/>
  </r>
  <r>
    <x v="130"/>
    <d v="2025-02-03T00:00:00"/>
    <x v="0"/>
    <s v="South"/>
    <s v="Mobile"/>
    <s v="Organic"/>
    <x v="1"/>
    <n v="0"/>
    <n v="0"/>
    <n v="0"/>
    <n v="0"/>
    <n v="0"/>
    <n v="0"/>
    <n v="0"/>
    <m/>
    <n v="33"/>
  </r>
  <r>
    <x v="131"/>
    <d v="2025-03-04T00:00:00"/>
    <x v="0"/>
    <s v="East"/>
    <s v="Mobile"/>
    <s v="Organic"/>
    <x v="1"/>
    <n v="1"/>
    <n v="0"/>
    <n v="0"/>
    <n v="0"/>
    <n v="0"/>
    <n v="0"/>
    <n v="0"/>
    <m/>
    <n v="67.900000000000006"/>
  </r>
  <r>
    <x v="132"/>
    <d v="2025-01-26T00:00:00"/>
    <x v="0"/>
    <s v="South"/>
    <s v="Mobile"/>
    <s v="Paid Search"/>
    <x v="0"/>
    <n v="0"/>
    <n v="0"/>
    <n v="0"/>
    <n v="0"/>
    <n v="0"/>
    <n v="0"/>
    <n v="0"/>
    <m/>
    <n v="42.2"/>
  </r>
  <r>
    <x v="133"/>
    <d v="2025-05-12T00:00:00"/>
    <x v="0"/>
    <s v="West"/>
    <s v="Mobile"/>
    <s v="Paid Search"/>
    <x v="0"/>
    <n v="1"/>
    <n v="1"/>
    <n v="1"/>
    <n v="0"/>
    <n v="0"/>
    <n v="0"/>
    <n v="0"/>
    <m/>
    <n v="43.4"/>
  </r>
  <r>
    <x v="134"/>
    <d v="2025-03-06T00:00:00"/>
    <x v="0"/>
    <s v="North"/>
    <s v="Mobile"/>
    <s v="Organic"/>
    <x v="0"/>
    <n v="0"/>
    <n v="0"/>
    <n v="0"/>
    <n v="0"/>
    <n v="0"/>
    <n v="0"/>
    <n v="0"/>
    <m/>
    <n v="54.4"/>
  </r>
  <r>
    <x v="135"/>
    <d v="2025-03-10T00:00:00"/>
    <x v="0"/>
    <s v="South"/>
    <s v="Desktop"/>
    <s v="Email"/>
    <x v="2"/>
    <n v="0"/>
    <n v="0"/>
    <n v="0"/>
    <n v="0"/>
    <n v="0"/>
    <n v="0"/>
    <n v="0"/>
    <m/>
    <n v="45.7"/>
  </r>
  <r>
    <x v="136"/>
    <d v="2025-05-06T00:00:00"/>
    <x v="0"/>
    <s v="North"/>
    <s v="Mobile"/>
    <s v="Paid Search"/>
    <x v="1"/>
    <n v="0"/>
    <n v="0"/>
    <n v="0"/>
    <n v="0"/>
    <n v="0"/>
    <n v="3"/>
    <n v="0"/>
    <m/>
    <n v="32"/>
  </r>
  <r>
    <x v="137"/>
    <d v="2025-02-23T00:00:00"/>
    <x v="0"/>
    <s v="South"/>
    <s v="Desktop"/>
    <s v="Paid Search"/>
    <x v="1"/>
    <n v="1"/>
    <n v="0"/>
    <n v="0"/>
    <n v="0"/>
    <n v="0"/>
    <n v="0"/>
    <n v="0"/>
    <m/>
    <n v="70.900000000000006"/>
  </r>
  <r>
    <x v="138"/>
    <d v="2025-01-29T00:00:00"/>
    <x v="0"/>
    <s v="West"/>
    <s v="Mobile"/>
    <s v="Social"/>
    <x v="0"/>
    <n v="1"/>
    <n v="1"/>
    <n v="1"/>
    <n v="0"/>
    <n v="0"/>
    <n v="0"/>
    <n v="0"/>
    <m/>
    <n v="59.1"/>
  </r>
  <r>
    <x v="139"/>
    <d v="2025-01-31T00:00:00"/>
    <x v="0"/>
    <s v="North"/>
    <s v="Mobile"/>
    <s v="Organic"/>
    <x v="0"/>
    <n v="0"/>
    <n v="0"/>
    <n v="0"/>
    <n v="0"/>
    <n v="0"/>
    <n v="0"/>
    <n v="0"/>
    <m/>
    <n v="62.4"/>
  </r>
  <r>
    <x v="140"/>
    <d v="2025-01-19T00:00:00"/>
    <x v="0"/>
    <s v="South"/>
    <s v="Mobile"/>
    <s v="Organic"/>
    <x v="1"/>
    <n v="0"/>
    <n v="0"/>
    <n v="0"/>
    <n v="0"/>
    <n v="0"/>
    <n v="0"/>
    <n v="0"/>
    <m/>
    <n v="49.6"/>
  </r>
  <r>
    <x v="141"/>
    <d v="2025-04-03T00:00:00"/>
    <x v="0"/>
    <s v="West"/>
    <s v="Desktop"/>
    <s v="Social"/>
    <x v="1"/>
    <n v="1"/>
    <n v="1"/>
    <n v="1"/>
    <n v="1"/>
    <n v="404.4"/>
    <n v="0"/>
    <n v="0"/>
    <n v="9"/>
    <n v="80.599999999999994"/>
  </r>
  <r>
    <x v="142"/>
    <d v="2025-04-07T00:00:00"/>
    <x v="0"/>
    <s v="North"/>
    <s v="Mobile"/>
    <s v="Paid Search"/>
    <x v="1"/>
    <n v="1"/>
    <n v="0"/>
    <n v="0"/>
    <n v="0"/>
    <n v="0"/>
    <n v="0"/>
    <n v="0"/>
    <m/>
    <n v="47.9"/>
  </r>
  <r>
    <x v="143"/>
    <d v="2025-01-06T00:00:00"/>
    <x v="0"/>
    <s v="East"/>
    <s v="Mobile"/>
    <s v="Paid Search"/>
    <x v="0"/>
    <n v="1"/>
    <n v="1"/>
    <n v="0"/>
    <n v="0"/>
    <n v="0"/>
    <n v="0"/>
    <n v="0"/>
    <m/>
    <n v="54.8"/>
  </r>
  <r>
    <x v="144"/>
    <d v="2025-04-11T00:00:00"/>
    <x v="0"/>
    <s v="East"/>
    <s v="Mobile"/>
    <s v="Organic"/>
    <x v="1"/>
    <n v="1"/>
    <n v="0"/>
    <n v="0"/>
    <n v="0"/>
    <n v="0"/>
    <n v="1"/>
    <n v="0"/>
    <m/>
    <n v="53.9"/>
  </r>
  <r>
    <x v="145"/>
    <d v="2025-04-23T00:00:00"/>
    <x v="0"/>
    <s v="East"/>
    <s v="Mobile"/>
    <s v="Paid Search"/>
    <x v="1"/>
    <n v="1"/>
    <n v="0"/>
    <n v="0"/>
    <n v="0"/>
    <n v="0"/>
    <n v="0"/>
    <n v="0"/>
    <m/>
    <n v="41.3"/>
  </r>
  <r>
    <x v="146"/>
    <d v="2025-03-25T00:00:00"/>
    <x v="0"/>
    <s v="West"/>
    <s v="Mobile"/>
    <s v="Organic"/>
    <x v="0"/>
    <n v="1"/>
    <n v="1"/>
    <n v="0"/>
    <n v="0"/>
    <n v="0"/>
    <n v="0"/>
    <n v="0"/>
    <m/>
    <n v="38.9"/>
  </r>
  <r>
    <x v="147"/>
    <d v="2025-05-25T00:00:00"/>
    <x v="0"/>
    <s v="South"/>
    <s v="Desktop"/>
    <s v="Organic"/>
    <x v="0"/>
    <n v="1"/>
    <n v="0"/>
    <n v="0"/>
    <n v="0"/>
    <n v="0"/>
    <n v="0"/>
    <n v="0"/>
    <m/>
    <n v="63.6"/>
  </r>
  <r>
    <x v="148"/>
    <d v="2025-01-28T00:00:00"/>
    <x v="0"/>
    <s v="North"/>
    <s v="Mobile"/>
    <s v="Organic"/>
    <x v="1"/>
    <n v="1"/>
    <n v="1"/>
    <n v="1"/>
    <n v="1"/>
    <n v="577.94000000000005"/>
    <n v="0"/>
    <n v="0"/>
    <n v="9"/>
    <n v="76.599999999999994"/>
  </r>
  <r>
    <x v="149"/>
    <d v="2025-02-12T00:00:00"/>
    <x v="0"/>
    <s v="West"/>
    <s v="Mobile"/>
    <s v="Paid Search"/>
    <x v="2"/>
    <n v="0"/>
    <n v="0"/>
    <n v="0"/>
    <n v="0"/>
    <n v="0"/>
    <n v="1"/>
    <n v="0"/>
    <m/>
    <n v="67.599999999999994"/>
  </r>
  <r>
    <x v="150"/>
    <d v="2025-04-29T00:00:00"/>
    <x v="0"/>
    <s v="North"/>
    <s v="Mobile"/>
    <s v="Social"/>
    <x v="2"/>
    <n v="1"/>
    <n v="0"/>
    <n v="0"/>
    <n v="0"/>
    <n v="0"/>
    <n v="0"/>
    <n v="0"/>
    <m/>
    <n v="43.1"/>
  </r>
  <r>
    <x v="151"/>
    <d v="2025-03-13T00:00:00"/>
    <x v="0"/>
    <s v="South"/>
    <s v="Mobile"/>
    <s v="Email"/>
    <x v="1"/>
    <n v="1"/>
    <n v="0"/>
    <n v="0"/>
    <n v="0"/>
    <n v="0"/>
    <n v="0"/>
    <n v="0"/>
    <m/>
    <n v="58.3"/>
  </r>
  <r>
    <x v="152"/>
    <d v="2025-02-04T00:00:00"/>
    <x v="0"/>
    <s v="East"/>
    <s v="Desktop"/>
    <s v="Paid Search"/>
    <x v="1"/>
    <n v="1"/>
    <n v="0"/>
    <n v="0"/>
    <n v="0"/>
    <n v="0"/>
    <n v="0"/>
    <n v="0"/>
    <m/>
    <n v="69.8"/>
  </r>
  <r>
    <x v="153"/>
    <d v="2025-03-04T00:00:00"/>
    <x v="0"/>
    <s v="South"/>
    <s v="Mobile"/>
    <s v="Referral"/>
    <x v="1"/>
    <n v="1"/>
    <n v="1"/>
    <n v="0"/>
    <n v="0"/>
    <n v="0"/>
    <n v="0"/>
    <n v="0"/>
    <m/>
    <m/>
  </r>
  <r>
    <x v="154"/>
    <d v="2025-02-04T00:00:00"/>
    <x v="0"/>
    <s v="West"/>
    <s v="Mobile"/>
    <s v="Paid Search"/>
    <x v="0"/>
    <n v="1"/>
    <n v="1"/>
    <n v="0"/>
    <n v="0"/>
    <n v="0"/>
    <n v="0"/>
    <n v="0"/>
    <m/>
    <n v="41.9"/>
  </r>
  <r>
    <x v="155"/>
    <d v="2025-03-11T00:00:00"/>
    <x v="0"/>
    <s v="North"/>
    <s v="Desktop"/>
    <s v="Organic"/>
    <x v="1"/>
    <n v="0"/>
    <n v="0"/>
    <n v="0"/>
    <n v="0"/>
    <n v="0"/>
    <n v="0"/>
    <n v="0"/>
    <m/>
    <n v="33.1"/>
  </r>
  <r>
    <x v="156"/>
    <d v="2025-04-22T00:00:00"/>
    <x v="0"/>
    <s v="West"/>
    <s v="Mobile"/>
    <s v="Organic"/>
    <x v="1"/>
    <n v="0"/>
    <n v="0"/>
    <n v="0"/>
    <n v="0"/>
    <n v="0"/>
    <n v="0"/>
    <n v="0"/>
    <m/>
    <n v="58.6"/>
  </r>
  <r>
    <x v="157"/>
    <d v="2025-03-08T00:00:00"/>
    <x v="0"/>
    <s v="North"/>
    <s v="Desktop"/>
    <s v="Paid Search"/>
    <x v="1"/>
    <n v="0"/>
    <n v="0"/>
    <n v="0"/>
    <n v="0"/>
    <n v="0"/>
    <n v="0"/>
    <n v="0"/>
    <m/>
    <n v="55.7"/>
  </r>
  <r>
    <x v="158"/>
    <d v="2025-03-10T00:00:00"/>
    <x v="0"/>
    <s v="East"/>
    <s v="Mobile"/>
    <s v="Organic"/>
    <x v="1"/>
    <n v="0"/>
    <n v="0"/>
    <n v="0"/>
    <n v="0"/>
    <n v="0"/>
    <n v="2"/>
    <n v="0"/>
    <m/>
    <n v="64.900000000000006"/>
  </r>
  <r>
    <x v="159"/>
    <d v="2025-05-18T00:00:00"/>
    <x v="0"/>
    <s v="North"/>
    <s v="Desktop"/>
    <s v="Paid Search"/>
    <x v="0"/>
    <n v="0"/>
    <n v="0"/>
    <n v="0"/>
    <n v="0"/>
    <n v="0"/>
    <n v="0"/>
    <n v="0"/>
    <m/>
    <n v="72.3"/>
  </r>
  <r>
    <x v="160"/>
    <d v="2025-05-14T00:00:00"/>
    <x v="0"/>
    <s v="North"/>
    <s v="Mobile"/>
    <s v="Social"/>
    <x v="0"/>
    <n v="0"/>
    <n v="0"/>
    <n v="0"/>
    <n v="0"/>
    <n v="0"/>
    <n v="0"/>
    <n v="0"/>
    <m/>
    <n v="42.1"/>
  </r>
  <r>
    <x v="161"/>
    <d v="2025-02-01T00:00:00"/>
    <x v="0"/>
    <s v="North"/>
    <s v="Mobile"/>
    <s v="Organic"/>
    <x v="1"/>
    <n v="0"/>
    <n v="0"/>
    <n v="0"/>
    <n v="0"/>
    <n v="0"/>
    <n v="0"/>
    <n v="0"/>
    <m/>
    <m/>
  </r>
  <r>
    <x v="162"/>
    <d v="2025-04-11T00:00:00"/>
    <x v="0"/>
    <s v="South"/>
    <s v="Mobile"/>
    <s v="Organic"/>
    <x v="0"/>
    <n v="0"/>
    <n v="0"/>
    <n v="0"/>
    <n v="0"/>
    <n v="0"/>
    <n v="1"/>
    <n v="0"/>
    <m/>
    <n v="64.8"/>
  </r>
  <r>
    <x v="163"/>
    <d v="2025-02-14T00:00:00"/>
    <x v="0"/>
    <s v="East"/>
    <s v="Mobile"/>
    <s v="Organic"/>
    <x v="1"/>
    <n v="0"/>
    <n v="0"/>
    <n v="0"/>
    <n v="0"/>
    <n v="0"/>
    <n v="0"/>
    <n v="0"/>
    <m/>
    <n v="72.099999999999994"/>
  </r>
  <r>
    <x v="164"/>
    <d v="2025-05-19T00:00:00"/>
    <x v="0"/>
    <s v="East"/>
    <s v="Mobile"/>
    <s v="Social"/>
    <x v="1"/>
    <n v="1"/>
    <n v="0"/>
    <n v="0"/>
    <n v="0"/>
    <n v="0"/>
    <n v="0"/>
    <n v="0"/>
    <m/>
    <n v="50.6"/>
  </r>
  <r>
    <x v="165"/>
    <d v="2025-04-26T00:00:00"/>
    <x v="0"/>
    <s v="North"/>
    <s v="Desktop"/>
    <s v="Paid Search"/>
    <x v="0"/>
    <n v="1"/>
    <n v="1"/>
    <n v="1"/>
    <n v="1"/>
    <n v="1281.25"/>
    <n v="1"/>
    <n v="0"/>
    <n v="9"/>
    <n v="43.4"/>
  </r>
  <r>
    <x v="166"/>
    <d v="2025-04-06T00:00:00"/>
    <x v="0"/>
    <s v="South"/>
    <s v="Mobile"/>
    <s v="Social"/>
    <x v="1"/>
    <n v="1"/>
    <n v="0"/>
    <n v="0"/>
    <n v="0"/>
    <n v="0"/>
    <n v="0"/>
    <n v="0"/>
    <m/>
    <n v="59.7"/>
  </r>
  <r>
    <x v="167"/>
    <d v="2025-03-06T00:00:00"/>
    <x v="0"/>
    <s v="South"/>
    <s v="Mobile"/>
    <s v="Paid Search"/>
    <x v="1"/>
    <n v="1"/>
    <n v="0"/>
    <n v="0"/>
    <n v="0"/>
    <n v="0"/>
    <n v="1"/>
    <n v="0"/>
    <m/>
    <m/>
  </r>
  <r>
    <x v="168"/>
    <d v="2025-03-10T00:00:00"/>
    <x v="0"/>
    <s v="West"/>
    <s v="Mobile"/>
    <s v="Social"/>
    <x v="0"/>
    <n v="0"/>
    <n v="0"/>
    <n v="0"/>
    <n v="0"/>
    <n v="0"/>
    <n v="0"/>
    <n v="0"/>
    <m/>
    <n v="54.5"/>
  </r>
  <r>
    <x v="169"/>
    <d v="2025-03-30T00:00:00"/>
    <x v="0"/>
    <s v="North"/>
    <s v="Mobile"/>
    <s v="Organic"/>
    <x v="1"/>
    <n v="1"/>
    <n v="0"/>
    <n v="0"/>
    <n v="0"/>
    <n v="0"/>
    <n v="0"/>
    <n v="0"/>
    <m/>
    <n v="71.099999999999994"/>
  </r>
  <r>
    <x v="170"/>
    <d v="2025-05-29T00:00:00"/>
    <x v="0"/>
    <s v="East"/>
    <m/>
    <s v="Paid Search"/>
    <x v="1"/>
    <n v="1"/>
    <n v="1"/>
    <n v="1"/>
    <n v="0"/>
    <n v="0"/>
    <n v="0"/>
    <n v="0"/>
    <m/>
    <n v="44.4"/>
  </r>
  <r>
    <x v="171"/>
    <d v="2025-03-23T00:00:00"/>
    <x v="0"/>
    <s v="North"/>
    <s v="Mobile"/>
    <s v="Organic"/>
    <x v="1"/>
    <n v="1"/>
    <n v="0"/>
    <n v="0"/>
    <n v="0"/>
    <n v="0"/>
    <n v="0"/>
    <n v="0"/>
    <m/>
    <n v="61.7"/>
  </r>
  <r>
    <x v="172"/>
    <d v="2025-02-18T00:00:00"/>
    <x v="0"/>
    <s v="North"/>
    <s v="Tablet"/>
    <s v="Organic"/>
    <x v="0"/>
    <n v="0"/>
    <n v="0"/>
    <n v="0"/>
    <n v="0"/>
    <n v="0"/>
    <n v="1"/>
    <n v="0"/>
    <m/>
    <n v="81.3"/>
  </r>
  <r>
    <x v="173"/>
    <d v="2025-01-26T00:00:00"/>
    <x v="0"/>
    <s v="North"/>
    <s v="Desktop"/>
    <s v="Email"/>
    <x v="1"/>
    <n v="1"/>
    <n v="0"/>
    <n v="0"/>
    <n v="0"/>
    <n v="0"/>
    <n v="2"/>
    <n v="0"/>
    <m/>
    <n v="28.7"/>
  </r>
  <r>
    <x v="174"/>
    <d v="2025-04-23T00:00:00"/>
    <x v="0"/>
    <s v="East"/>
    <s v="Mobile"/>
    <s v="Social"/>
    <x v="0"/>
    <n v="0"/>
    <n v="0"/>
    <n v="0"/>
    <n v="0"/>
    <n v="0"/>
    <n v="0"/>
    <n v="0"/>
    <m/>
    <n v="53"/>
  </r>
  <r>
    <x v="175"/>
    <d v="2025-03-16T00:00:00"/>
    <x v="0"/>
    <s v="South"/>
    <s v="Tablet"/>
    <s v="Referral"/>
    <x v="0"/>
    <n v="1"/>
    <n v="0"/>
    <n v="0"/>
    <n v="0"/>
    <n v="0"/>
    <n v="0"/>
    <n v="0"/>
    <m/>
    <n v="54.9"/>
  </r>
  <r>
    <x v="176"/>
    <d v="2025-04-29T00:00:00"/>
    <x v="0"/>
    <s v="West"/>
    <s v="Mobile"/>
    <s v="Organic"/>
    <x v="0"/>
    <n v="1"/>
    <n v="0"/>
    <n v="0"/>
    <n v="0"/>
    <n v="0"/>
    <n v="0"/>
    <n v="0"/>
    <m/>
    <n v="58.2"/>
  </r>
  <r>
    <x v="177"/>
    <d v="2025-04-06T00:00:00"/>
    <x v="0"/>
    <s v="North"/>
    <s v="Mobile"/>
    <s v="Organic"/>
    <x v="1"/>
    <n v="0"/>
    <n v="0"/>
    <n v="0"/>
    <n v="0"/>
    <n v="0"/>
    <n v="0"/>
    <n v="0"/>
    <m/>
    <n v="80.599999999999994"/>
  </r>
  <r>
    <x v="178"/>
    <d v="2025-04-17T00:00:00"/>
    <x v="0"/>
    <s v="North"/>
    <s v="Desktop"/>
    <s v="Referral"/>
    <x v="2"/>
    <n v="1"/>
    <n v="1"/>
    <n v="1"/>
    <n v="0"/>
    <n v="0"/>
    <n v="0"/>
    <n v="0"/>
    <m/>
    <n v="38.4"/>
  </r>
  <r>
    <x v="179"/>
    <d v="2025-04-03T00:00:00"/>
    <x v="0"/>
    <s v="South"/>
    <s v="Mobile"/>
    <s v="Paid Search"/>
    <x v="1"/>
    <n v="1"/>
    <n v="0"/>
    <n v="0"/>
    <n v="0"/>
    <n v="0"/>
    <n v="0"/>
    <n v="0"/>
    <m/>
    <n v="56.1"/>
  </r>
  <r>
    <x v="180"/>
    <d v="2025-04-25T00:00:00"/>
    <x v="0"/>
    <s v="West"/>
    <s v="Mobile"/>
    <s v="Paid Search"/>
    <x v="1"/>
    <n v="0"/>
    <n v="0"/>
    <n v="0"/>
    <n v="0"/>
    <n v="0"/>
    <n v="0"/>
    <n v="0"/>
    <m/>
    <n v="62.6"/>
  </r>
  <r>
    <x v="181"/>
    <d v="2025-04-30T00:00:00"/>
    <x v="0"/>
    <s v="South"/>
    <s v="Mobile"/>
    <s v="Organic"/>
    <x v="2"/>
    <n v="0"/>
    <n v="0"/>
    <n v="0"/>
    <n v="0"/>
    <n v="0"/>
    <n v="0"/>
    <n v="0"/>
    <m/>
    <n v="36.299999999999997"/>
  </r>
  <r>
    <x v="182"/>
    <d v="2025-03-12T00:00:00"/>
    <x v="0"/>
    <s v="South"/>
    <s v="Mobile"/>
    <s v="Paid Search"/>
    <x v="1"/>
    <n v="1"/>
    <n v="0"/>
    <n v="0"/>
    <n v="0"/>
    <n v="0"/>
    <n v="0"/>
    <n v="0"/>
    <m/>
    <n v="52.1"/>
  </r>
  <r>
    <x v="183"/>
    <d v="2025-05-04T00:00:00"/>
    <x v="0"/>
    <s v="South"/>
    <s v="Mobile"/>
    <s v="Organic"/>
    <x v="1"/>
    <n v="1"/>
    <n v="0"/>
    <n v="0"/>
    <n v="0"/>
    <n v="0"/>
    <n v="0"/>
    <n v="0"/>
    <m/>
    <n v="45.1"/>
  </r>
  <r>
    <x v="184"/>
    <d v="2025-02-07T00:00:00"/>
    <x v="0"/>
    <s v="South"/>
    <s v="Tablet"/>
    <s v="Paid Search"/>
    <x v="2"/>
    <n v="0"/>
    <n v="0"/>
    <n v="0"/>
    <n v="0"/>
    <n v="0"/>
    <n v="0"/>
    <n v="0"/>
    <m/>
    <n v="67.5"/>
  </r>
  <r>
    <x v="185"/>
    <d v="2025-04-28T00:00:00"/>
    <x v="0"/>
    <s v="East"/>
    <s v="Tablet"/>
    <s v="Email"/>
    <x v="0"/>
    <n v="1"/>
    <n v="1"/>
    <n v="1"/>
    <n v="0"/>
    <n v="0"/>
    <n v="0"/>
    <n v="0"/>
    <m/>
    <n v="80"/>
  </r>
  <r>
    <x v="186"/>
    <d v="2025-05-15T00:00:00"/>
    <x v="0"/>
    <s v="East"/>
    <s v="Desktop"/>
    <s v="Referral"/>
    <x v="1"/>
    <n v="0"/>
    <n v="0"/>
    <n v="0"/>
    <n v="0"/>
    <n v="0"/>
    <n v="0"/>
    <n v="0"/>
    <m/>
    <n v="56.4"/>
  </r>
  <r>
    <x v="187"/>
    <d v="2025-01-18T00:00:00"/>
    <x v="0"/>
    <s v="West"/>
    <s v="Mobile"/>
    <s v="Paid Search"/>
    <x v="0"/>
    <n v="0"/>
    <n v="0"/>
    <n v="0"/>
    <n v="0"/>
    <n v="0"/>
    <n v="0"/>
    <n v="0"/>
    <m/>
    <n v="55.4"/>
  </r>
  <r>
    <x v="188"/>
    <d v="2025-02-15T00:00:00"/>
    <x v="0"/>
    <s v="South"/>
    <s v="Mobile"/>
    <s v="Social"/>
    <x v="0"/>
    <n v="1"/>
    <n v="0"/>
    <n v="0"/>
    <n v="0"/>
    <n v="0"/>
    <n v="0"/>
    <n v="0"/>
    <m/>
    <n v="67.900000000000006"/>
  </r>
  <r>
    <x v="189"/>
    <d v="2025-02-18T00:00:00"/>
    <x v="0"/>
    <s v="North"/>
    <s v="Tablet"/>
    <s v="Email"/>
    <x v="1"/>
    <n v="1"/>
    <n v="0"/>
    <n v="0"/>
    <n v="0"/>
    <n v="0"/>
    <n v="0"/>
    <n v="0"/>
    <m/>
    <n v="62.5"/>
  </r>
  <r>
    <x v="190"/>
    <d v="2025-01-30T00:00:00"/>
    <x v="0"/>
    <s v="South"/>
    <s v="Desktop"/>
    <s v="Email"/>
    <x v="0"/>
    <n v="1"/>
    <n v="1"/>
    <n v="1"/>
    <n v="0"/>
    <n v="0"/>
    <n v="0"/>
    <n v="0"/>
    <m/>
    <n v="54.3"/>
  </r>
  <r>
    <x v="191"/>
    <d v="2025-02-09T00:00:00"/>
    <x v="0"/>
    <s v="South"/>
    <s v="Desktop"/>
    <s v="Organic"/>
    <x v="0"/>
    <n v="1"/>
    <n v="0"/>
    <n v="0"/>
    <n v="0"/>
    <n v="0"/>
    <n v="0"/>
    <n v="0"/>
    <m/>
    <n v="37.5"/>
  </r>
  <r>
    <x v="192"/>
    <d v="2025-03-16T00:00:00"/>
    <x v="0"/>
    <s v="West"/>
    <s v="Mobile"/>
    <s v="Paid Search"/>
    <x v="0"/>
    <n v="1"/>
    <n v="0"/>
    <n v="0"/>
    <n v="0"/>
    <n v="0"/>
    <n v="0"/>
    <n v="0"/>
    <m/>
    <n v="52.6"/>
  </r>
  <r>
    <x v="193"/>
    <d v="2025-05-19T00:00:00"/>
    <x v="0"/>
    <s v="North"/>
    <s v="Mobile"/>
    <s v="Paid Search"/>
    <x v="1"/>
    <n v="1"/>
    <n v="0"/>
    <n v="0"/>
    <n v="0"/>
    <n v="0"/>
    <n v="0"/>
    <n v="0"/>
    <m/>
    <n v="46.1"/>
  </r>
  <r>
    <x v="194"/>
    <d v="2025-05-16T00:00:00"/>
    <x v="0"/>
    <s v="South"/>
    <s v="Desktop"/>
    <s v="Organic"/>
    <x v="0"/>
    <n v="1"/>
    <n v="0"/>
    <n v="0"/>
    <n v="0"/>
    <n v="0"/>
    <n v="0"/>
    <n v="0"/>
    <m/>
    <n v="54.7"/>
  </r>
  <r>
    <x v="195"/>
    <d v="2025-04-25T00:00:00"/>
    <x v="0"/>
    <s v="West"/>
    <s v="Desktop"/>
    <s v="Referral"/>
    <x v="0"/>
    <n v="0"/>
    <n v="0"/>
    <n v="0"/>
    <n v="0"/>
    <n v="0"/>
    <n v="0"/>
    <n v="0"/>
    <m/>
    <n v="74.2"/>
  </r>
  <r>
    <x v="196"/>
    <d v="2025-02-27T00:00:00"/>
    <x v="0"/>
    <s v="North"/>
    <s v="Mobile"/>
    <s v="Social"/>
    <x v="0"/>
    <n v="1"/>
    <n v="1"/>
    <n v="1"/>
    <n v="1"/>
    <n v="1052.8"/>
    <n v="2"/>
    <n v="0"/>
    <n v="6"/>
    <n v="64.7"/>
  </r>
  <r>
    <x v="197"/>
    <d v="2025-04-26T00:00:00"/>
    <x v="0"/>
    <s v="South"/>
    <s v="Mobile"/>
    <s v="Paid Search"/>
    <x v="0"/>
    <n v="0"/>
    <n v="0"/>
    <n v="0"/>
    <n v="0"/>
    <n v="0"/>
    <n v="0"/>
    <n v="0"/>
    <m/>
    <n v="65.900000000000006"/>
  </r>
  <r>
    <x v="198"/>
    <d v="2025-05-14T00:00:00"/>
    <x v="0"/>
    <s v="North"/>
    <s v="Mobile"/>
    <s v="Organic"/>
    <x v="0"/>
    <n v="1"/>
    <n v="0"/>
    <n v="0"/>
    <n v="0"/>
    <n v="0"/>
    <n v="0"/>
    <n v="0"/>
    <m/>
    <n v="64"/>
  </r>
  <r>
    <x v="199"/>
    <d v="2025-03-05T00:00:00"/>
    <x v="0"/>
    <s v="North"/>
    <s v="Mobile"/>
    <s v="Organic"/>
    <x v="2"/>
    <n v="1"/>
    <n v="0"/>
    <n v="0"/>
    <n v="0"/>
    <n v="0"/>
    <n v="0"/>
    <n v="0"/>
    <m/>
    <n v="57.2"/>
  </r>
  <r>
    <x v="200"/>
    <d v="2025-04-02T00:00:00"/>
    <x v="0"/>
    <s v="West"/>
    <s v="Desktop"/>
    <s v="Organic"/>
    <x v="1"/>
    <n v="1"/>
    <n v="0"/>
    <n v="0"/>
    <n v="0"/>
    <n v="0"/>
    <n v="0"/>
    <n v="0"/>
    <m/>
    <n v="80.5"/>
  </r>
  <r>
    <x v="201"/>
    <d v="2025-05-14T00:00:00"/>
    <x v="0"/>
    <s v="South"/>
    <s v="Tablet"/>
    <s v="Organic"/>
    <x v="1"/>
    <n v="0"/>
    <n v="0"/>
    <n v="0"/>
    <n v="0"/>
    <n v="0"/>
    <n v="0"/>
    <n v="0"/>
    <m/>
    <n v="53.9"/>
  </r>
  <r>
    <x v="202"/>
    <d v="2025-05-21T00:00:00"/>
    <x v="0"/>
    <s v="North"/>
    <s v="Mobile"/>
    <s v="Paid Search"/>
    <x v="1"/>
    <n v="1"/>
    <n v="1"/>
    <n v="0"/>
    <n v="0"/>
    <n v="0"/>
    <n v="0"/>
    <n v="0"/>
    <m/>
    <n v="77.5"/>
  </r>
  <r>
    <x v="203"/>
    <d v="2025-01-27T00:00:00"/>
    <x v="0"/>
    <s v="East"/>
    <s v="Mobile"/>
    <s v="Social"/>
    <x v="0"/>
    <n v="0"/>
    <n v="0"/>
    <n v="0"/>
    <n v="0"/>
    <n v="0"/>
    <n v="0"/>
    <n v="0"/>
    <m/>
    <n v="84.2"/>
  </r>
  <r>
    <x v="204"/>
    <d v="2025-05-22T00:00:00"/>
    <x v="0"/>
    <s v="West"/>
    <s v="Desktop"/>
    <s v="Organic"/>
    <x v="1"/>
    <n v="1"/>
    <n v="1"/>
    <n v="0"/>
    <n v="0"/>
    <n v="0"/>
    <n v="0"/>
    <n v="0"/>
    <m/>
    <n v="54.9"/>
  </r>
  <r>
    <x v="205"/>
    <d v="2025-05-19T00:00:00"/>
    <x v="0"/>
    <s v="South"/>
    <s v="Mobile"/>
    <s v="Paid Search"/>
    <x v="1"/>
    <n v="0"/>
    <n v="0"/>
    <n v="0"/>
    <n v="0"/>
    <n v="0"/>
    <n v="0"/>
    <n v="0"/>
    <m/>
    <n v="69.3"/>
  </r>
  <r>
    <x v="206"/>
    <d v="2025-01-14T00:00:00"/>
    <x v="0"/>
    <s v="South"/>
    <s v="Desktop"/>
    <s v="Paid Search"/>
    <x v="1"/>
    <n v="1"/>
    <n v="0"/>
    <n v="0"/>
    <n v="0"/>
    <n v="0"/>
    <n v="2"/>
    <n v="0"/>
    <m/>
    <n v="42.3"/>
  </r>
  <r>
    <x v="207"/>
    <d v="2025-01-21T00:00:00"/>
    <x v="0"/>
    <s v="North"/>
    <s v="Desktop"/>
    <s v="Referral"/>
    <x v="2"/>
    <n v="1"/>
    <n v="0"/>
    <n v="0"/>
    <n v="0"/>
    <n v="0"/>
    <n v="1"/>
    <n v="0"/>
    <m/>
    <n v="69.599999999999994"/>
  </r>
  <r>
    <x v="208"/>
    <d v="2025-05-16T00:00:00"/>
    <x v="0"/>
    <s v="East"/>
    <s v="Mobile"/>
    <s v="Organic"/>
    <x v="1"/>
    <n v="0"/>
    <n v="0"/>
    <n v="0"/>
    <n v="0"/>
    <n v="0"/>
    <n v="0"/>
    <n v="0"/>
    <m/>
    <n v="40.700000000000003"/>
  </r>
  <r>
    <x v="209"/>
    <d v="2025-02-02T00:00:00"/>
    <x v="0"/>
    <s v="North"/>
    <s v="Mobile"/>
    <s v="Email"/>
    <x v="1"/>
    <n v="1"/>
    <n v="0"/>
    <n v="0"/>
    <n v="0"/>
    <n v="0"/>
    <n v="0"/>
    <n v="0"/>
    <m/>
    <n v="54"/>
  </r>
  <r>
    <x v="210"/>
    <d v="2025-03-23T00:00:00"/>
    <x v="0"/>
    <s v="East"/>
    <m/>
    <s v="Referral"/>
    <x v="1"/>
    <n v="1"/>
    <n v="1"/>
    <n v="1"/>
    <n v="1"/>
    <n v="553.37"/>
    <n v="0"/>
    <n v="0"/>
    <n v="5"/>
    <n v="46.3"/>
  </r>
  <r>
    <x v="211"/>
    <d v="2025-01-24T00:00:00"/>
    <x v="0"/>
    <s v="East"/>
    <s v="Mobile"/>
    <s v="Organic"/>
    <x v="1"/>
    <n v="1"/>
    <n v="0"/>
    <n v="0"/>
    <n v="0"/>
    <n v="0"/>
    <n v="0"/>
    <n v="0"/>
    <m/>
    <n v="64.2"/>
  </r>
  <r>
    <x v="212"/>
    <d v="2025-04-12T00:00:00"/>
    <x v="0"/>
    <s v="North"/>
    <s v="Desktop"/>
    <s v="Organic"/>
    <x v="1"/>
    <n v="1"/>
    <n v="0"/>
    <n v="0"/>
    <n v="0"/>
    <n v="0"/>
    <n v="0"/>
    <n v="0"/>
    <m/>
    <n v="75.2"/>
  </r>
  <r>
    <x v="213"/>
    <d v="2025-02-18T00:00:00"/>
    <x v="0"/>
    <s v="East"/>
    <s v="Desktop"/>
    <s v="Paid Search"/>
    <x v="1"/>
    <n v="1"/>
    <n v="1"/>
    <n v="0"/>
    <n v="0"/>
    <n v="0"/>
    <n v="0"/>
    <n v="0"/>
    <m/>
    <n v="60.9"/>
  </r>
  <r>
    <x v="214"/>
    <d v="2025-05-28T00:00:00"/>
    <x v="0"/>
    <s v="South"/>
    <s v="Mobile"/>
    <s v="Email"/>
    <x v="0"/>
    <n v="1"/>
    <n v="1"/>
    <n v="1"/>
    <n v="0"/>
    <n v="0"/>
    <n v="0"/>
    <n v="0"/>
    <m/>
    <n v="62.1"/>
  </r>
  <r>
    <x v="215"/>
    <d v="2025-04-18T00:00:00"/>
    <x v="0"/>
    <s v="South"/>
    <s v="Mobile"/>
    <s v="Social"/>
    <x v="0"/>
    <n v="0"/>
    <n v="0"/>
    <n v="0"/>
    <n v="0"/>
    <n v="0"/>
    <n v="0"/>
    <n v="0"/>
    <m/>
    <n v="45.4"/>
  </r>
  <r>
    <x v="216"/>
    <d v="2025-03-27T00:00:00"/>
    <x v="0"/>
    <s v="North"/>
    <s v="Mobile"/>
    <s v="Paid Search"/>
    <x v="0"/>
    <n v="1"/>
    <n v="0"/>
    <n v="0"/>
    <n v="0"/>
    <n v="0"/>
    <n v="0"/>
    <n v="0"/>
    <m/>
    <n v="53.3"/>
  </r>
  <r>
    <x v="217"/>
    <d v="2025-02-25T00:00:00"/>
    <x v="0"/>
    <s v="North"/>
    <s v="Tablet"/>
    <s v="Social"/>
    <x v="1"/>
    <n v="1"/>
    <n v="0"/>
    <n v="0"/>
    <n v="0"/>
    <n v="0"/>
    <n v="0"/>
    <n v="0"/>
    <m/>
    <m/>
  </r>
  <r>
    <x v="218"/>
    <d v="2025-02-19T00:00:00"/>
    <x v="0"/>
    <s v="East"/>
    <s v="Mobile"/>
    <s v="Paid Search"/>
    <x v="1"/>
    <n v="0"/>
    <n v="0"/>
    <n v="0"/>
    <n v="0"/>
    <n v="0"/>
    <n v="1"/>
    <n v="0"/>
    <m/>
    <n v="38.200000000000003"/>
  </r>
  <r>
    <x v="219"/>
    <d v="2025-04-11T00:00:00"/>
    <x v="0"/>
    <s v="West"/>
    <s v="Mobile"/>
    <s v="Paid Search"/>
    <x v="1"/>
    <n v="1"/>
    <n v="1"/>
    <n v="0"/>
    <n v="0"/>
    <n v="0"/>
    <n v="3"/>
    <n v="0"/>
    <m/>
    <n v="59"/>
  </r>
  <r>
    <x v="220"/>
    <d v="2025-01-22T00:00:00"/>
    <x v="0"/>
    <s v="East"/>
    <s v="Tablet"/>
    <s v="Referral"/>
    <x v="2"/>
    <n v="1"/>
    <n v="1"/>
    <n v="1"/>
    <n v="0"/>
    <n v="0"/>
    <n v="0"/>
    <n v="0"/>
    <m/>
    <n v="80.599999999999994"/>
  </r>
  <r>
    <x v="221"/>
    <d v="2025-01-12T00:00:00"/>
    <x v="0"/>
    <s v="South"/>
    <s v="Mobile"/>
    <s v="Social"/>
    <x v="1"/>
    <n v="1"/>
    <n v="0"/>
    <n v="0"/>
    <n v="0"/>
    <n v="0"/>
    <n v="0"/>
    <n v="0"/>
    <m/>
    <n v="67"/>
  </r>
  <r>
    <x v="222"/>
    <d v="2025-02-17T00:00:00"/>
    <x v="0"/>
    <s v="West"/>
    <s v="Mobile"/>
    <s v="Email"/>
    <x v="1"/>
    <n v="1"/>
    <n v="0"/>
    <n v="0"/>
    <n v="0"/>
    <n v="0"/>
    <n v="1"/>
    <n v="0"/>
    <m/>
    <n v="72.099999999999994"/>
  </r>
  <r>
    <x v="223"/>
    <d v="2025-04-11T00:00:00"/>
    <x v="0"/>
    <s v="West"/>
    <s v="Desktop"/>
    <s v="Organic"/>
    <x v="1"/>
    <n v="0"/>
    <n v="0"/>
    <n v="0"/>
    <n v="0"/>
    <n v="0"/>
    <n v="0"/>
    <n v="0"/>
    <m/>
    <n v="74.099999999999994"/>
  </r>
  <r>
    <x v="224"/>
    <d v="2025-05-25T00:00:00"/>
    <x v="0"/>
    <s v="South"/>
    <s v="Mobile"/>
    <s v="Referral"/>
    <x v="2"/>
    <n v="0"/>
    <n v="0"/>
    <n v="0"/>
    <n v="0"/>
    <n v="0"/>
    <n v="0"/>
    <n v="0"/>
    <m/>
    <n v="84.8"/>
  </r>
  <r>
    <x v="225"/>
    <d v="2025-03-12T00:00:00"/>
    <x v="0"/>
    <s v="South"/>
    <s v="Mobile"/>
    <s v="Organic"/>
    <x v="0"/>
    <n v="1"/>
    <n v="0"/>
    <n v="0"/>
    <n v="0"/>
    <n v="0"/>
    <n v="0"/>
    <n v="0"/>
    <m/>
    <n v="33"/>
  </r>
  <r>
    <x v="226"/>
    <d v="2025-04-20T00:00:00"/>
    <x v="0"/>
    <s v="North"/>
    <s v="Tablet"/>
    <s v="Email"/>
    <x v="1"/>
    <n v="0"/>
    <n v="0"/>
    <n v="0"/>
    <n v="0"/>
    <n v="0"/>
    <n v="0"/>
    <n v="0"/>
    <m/>
    <n v="52.5"/>
  </r>
  <r>
    <x v="227"/>
    <d v="2025-02-23T00:00:00"/>
    <x v="0"/>
    <s v="North"/>
    <s v="Tablet"/>
    <s v="Organic"/>
    <x v="1"/>
    <n v="0"/>
    <n v="0"/>
    <n v="0"/>
    <n v="0"/>
    <n v="0"/>
    <n v="0"/>
    <n v="0"/>
    <m/>
    <n v="66.900000000000006"/>
  </r>
  <r>
    <x v="228"/>
    <d v="2025-01-24T00:00:00"/>
    <x v="0"/>
    <s v="North"/>
    <s v="Mobile"/>
    <s v="Organic"/>
    <x v="0"/>
    <n v="1"/>
    <n v="1"/>
    <n v="1"/>
    <n v="0"/>
    <n v="0"/>
    <n v="1"/>
    <n v="0"/>
    <m/>
    <n v="32.700000000000003"/>
  </r>
  <r>
    <x v="229"/>
    <d v="2025-01-16T00:00:00"/>
    <x v="0"/>
    <s v="West"/>
    <s v="Mobile"/>
    <s v="Organic"/>
    <x v="2"/>
    <n v="1"/>
    <n v="1"/>
    <n v="1"/>
    <n v="0"/>
    <n v="0"/>
    <n v="1"/>
    <n v="0"/>
    <m/>
    <n v="70.599999999999994"/>
  </r>
  <r>
    <x v="230"/>
    <d v="2025-02-17T00:00:00"/>
    <x v="0"/>
    <s v="North"/>
    <s v="Mobile"/>
    <s v="Social"/>
    <x v="1"/>
    <n v="0"/>
    <n v="0"/>
    <n v="0"/>
    <n v="0"/>
    <n v="0"/>
    <n v="0"/>
    <n v="0"/>
    <m/>
    <n v="69.400000000000006"/>
  </r>
  <r>
    <x v="231"/>
    <d v="2025-05-04T00:00:00"/>
    <x v="0"/>
    <s v="North"/>
    <s v="Desktop"/>
    <s v="Organic"/>
    <x v="0"/>
    <n v="1"/>
    <n v="0"/>
    <n v="0"/>
    <n v="0"/>
    <n v="0"/>
    <n v="0"/>
    <n v="0"/>
    <m/>
    <n v="56.1"/>
  </r>
  <r>
    <x v="232"/>
    <d v="2025-01-12T00:00:00"/>
    <x v="0"/>
    <s v="West"/>
    <s v="Mobile"/>
    <s v="Organic"/>
    <x v="0"/>
    <n v="0"/>
    <n v="0"/>
    <n v="0"/>
    <n v="0"/>
    <n v="0"/>
    <n v="0"/>
    <n v="0"/>
    <m/>
    <n v="55.8"/>
  </r>
  <r>
    <x v="233"/>
    <d v="2025-04-28T00:00:00"/>
    <x v="0"/>
    <s v="North"/>
    <s v="Tablet"/>
    <s v="Organic"/>
    <x v="1"/>
    <n v="0"/>
    <n v="0"/>
    <n v="0"/>
    <n v="0"/>
    <n v="0"/>
    <n v="0"/>
    <n v="0"/>
    <m/>
    <n v="49.3"/>
  </r>
  <r>
    <x v="234"/>
    <d v="2025-02-26T00:00:00"/>
    <x v="0"/>
    <s v="North"/>
    <s v="Mobile"/>
    <s v="Organic"/>
    <x v="1"/>
    <n v="0"/>
    <n v="0"/>
    <n v="0"/>
    <n v="0"/>
    <n v="0"/>
    <n v="0"/>
    <n v="0"/>
    <m/>
    <n v="71.8"/>
  </r>
  <r>
    <x v="235"/>
    <d v="2025-03-18T00:00:00"/>
    <x v="0"/>
    <s v="West"/>
    <s v="Mobile"/>
    <s v="Social"/>
    <x v="1"/>
    <n v="1"/>
    <n v="0"/>
    <n v="0"/>
    <n v="0"/>
    <n v="0"/>
    <n v="3"/>
    <n v="0"/>
    <m/>
    <n v="39.700000000000003"/>
  </r>
  <r>
    <x v="236"/>
    <d v="2025-03-01T00:00:00"/>
    <x v="0"/>
    <s v="South"/>
    <s v="Desktop"/>
    <s v="Organic"/>
    <x v="2"/>
    <n v="1"/>
    <n v="0"/>
    <n v="0"/>
    <n v="0"/>
    <n v="0"/>
    <n v="0"/>
    <n v="0"/>
    <m/>
    <n v="45.4"/>
  </r>
  <r>
    <x v="237"/>
    <d v="2025-04-05T00:00:00"/>
    <x v="0"/>
    <s v="North"/>
    <s v="Desktop"/>
    <s v="Social"/>
    <x v="2"/>
    <n v="1"/>
    <n v="0"/>
    <n v="0"/>
    <n v="0"/>
    <n v="0"/>
    <n v="0"/>
    <n v="0"/>
    <m/>
    <n v="69.900000000000006"/>
  </r>
  <r>
    <x v="238"/>
    <d v="2025-03-12T00:00:00"/>
    <x v="0"/>
    <s v="North"/>
    <s v="Desktop"/>
    <s v="Social"/>
    <x v="1"/>
    <n v="1"/>
    <n v="1"/>
    <n v="1"/>
    <n v="0"/>
    <n v="0"/>
    <n v="0"/>
    <n v="0"/>
    <m/>
    <n v="56.1"/>
  </r>
  <r>
    <x v="239"/>
    <d v="2025-03-15T00:00:00"/>
    <x v="0"/>
    <s v="West"/>
    <s v="Mobile"/>
    <s v="Referral"/>
    <x v="0"/>
    <n v="1"/>
    <n v="1"/>
    <n v="0"/>
    <n v="0"/>
    <n v="0"/>
    <n v="0"/>
    <n v="0"/>
    <m/>
    <n v="45.9"/>
  </r>
  <r>
    <x v="240"/>
    <d v="2025-02-23T00:00:00"/>
    <x v="0"/>
    <s v="West"/>
    <s v="Mobile"/>
    <s v="Email"/>
    <x v="1"/>
    <n v="0"/>
    <n v="0"/>
    <n v="0"/>
    <n v="0"/>
    <n v="0"/>
    <n v="0"/>
    <n v="0"/>
    <m/>
    <n v="65.8"/>
  </r>
  <r>
    <x v="241"/>
    <d v="2025-04-22T00:00:00"/>
    <x v="0"/>
    <s v="North"/>
    <s v="Mobile"/>
    <s v="Organic"/>
    <x v="0"/>
    <n v="1"/>
    <n v="0"/>
    <n v="0"/>
    <n v="0"/>
    <n v="0"/>
    <n v="0"/>
    <n v="0"/>
    <m/>
    <n v="48.2"/>
  </r>
  <r>
    <x v="242"/>
    <d v="2025-01-09T00:00:00"/>
    <x v="0"/>
    <s v="East"/>
    <s v="Mobile"/>
    <s v="Organic"/>
    <x v="0"/>
    <n v="1"/>
    <n v="1"/>
    <n v="1"/>
    <n v="0"/>
    <n v="0"/>
    <n v="0"/>
    <n v="0"/>
    <m/>
    <n v="81.099999999999994"/>
  </r>
  <r>
    <x v="243"/>
    <d v="2025-03-05T00:00:00"/>
    <x v="0"/>
    <s v="East"/>
    <s v="Tablet"/>
    <s v="Social"/>
    <x v="2"/>
    <n v="1"/>
    <n v="1"/>
    <n v="0"/>
    <n v="0"/>
    <n v="0"/>
    <n v="0"/>
    <n v="0"/>
    <m/>
    <n v="53.2"/>
  </r>
  <r>
    <x v="244"/>
    <d v="2025-01-28T00:00:00"/>
    <x v="0"/>
    <s v="North"/>
    <s v="Mobile"/>
    <s v="Social"/>
    <x v="1"/>
    <n v="1"/>
    <n v="1"/>
    <n v="1"/>
    <n v="0"/>
    <n v="0"/>
    <n v="0"/>
    <n v="0"/>
    <m/>
    <n v="57.7"/>
  </r>
  <r>
    <x v="245"/>
    <d v="2025-01-21T00:00:00"/>
    <x v="0"/>
    <s v="West"/>
    <s v="Mobile"/>
    <s v="Paid Search"/>
    <x v="2"/>
    <n v="1"/>
    <n v="1"/>
    <n v="0"/>
    <n v="0"/>
    <n v="0"/>
    <n v="0"/>
    <n v="0"/>
    <m/>
    <n v="78.900000000000006"/>
  </r>
  <r>
    <x v="246"/>
    <d v="2025-03-14T00:00:00"/>
    <x v="0"/>
    <s v="South"/>
    <s v="Mobile"/>
    <s v="Referral"/>
    <x v="0"/>
    <n v="0"/>
    <n v="0"/>
    <n v="0"/>
    <n v="0"/>
    <n v="0"/>
    <n v="0"/>
    <n v="0"/>
    <m/>
    <n v="55.7"/>
  </r>
  <r>
    <x v="247"/>
    <d v="2025-02-03T00:00:00"/>
    <x v="0"/>
    <s v="West"/>
    <s v="Mobile"/>
    <s v="Paid Search"/>
    <x v="1"/>
    <n v="0"/>
    <n v="0"/>
    <n v="0"/>
    <n v="0"/>
    <n v="0"/>
    <n v="0"/>
    <n v="0"/>
    <m/>
    <n v="52.3"/>
  </r>
  <r>
    <x v="248"/>
    <d v="2025-05-22T00:00:00"/>
    <x v="0"/>
    <s v="North"/>
    <s v="Mobile"/>
    <s v="Social"/>
    <x v="1"/>
    <n v="1"/>
    <n v="0"/>
    <n v="0"/>
    <n v="0"/>
    <n v="0"/>
    <n v="0"/>
    <n v="0"/>
    <m/>
    <n v="51.5"/>
  </r>
  <r>
    <x v="249"/>
    <d v="2025-04-25T00:00:00"/>
    <x v="0"/>
    <s v="North"/>
    <s v="Desktop"/>
    <s v="Email"/>
    <x v="1"/>
    <n v="1"/>
    <n v="0"/>
    <n v="0"/>
    <n v="0"/>
    <n v="0"/>
    <n v="0"/>
    <n v="0"/>
    <m/>
    <n v="70.8"/>
  </r>
  <r>
    <x v="250"/>
    <d v="2025-01-30T00:00:00"/>
    <x v="0"/>
    <s v="North"/>
    <s v="Desktop"/>
    <s v="Email"/>
    <x v="0"/>
    <n v="1"/>
    <n v="1"/>
    <n v="1"/>
    <n v="1"/>
    <n v="1250.78"/>
    <n v="0"/>
    <n v="0"/>
    <n v="10"/>
    <n v="39"/>
  </r>
  <r>
    <x v="251"/>
    <d v="2025-05-23T00:00:00"/>
    <x v="0"/>
    <s v="West"/>
    <s v="Mobile"/>
    <s v="Organic"/>
    <x v="1"/>
    <n v="1"/>
    <n v="0"/>
    <n v="0"/>
    <n v="0"/>
    <n v="0"/>
    <n v="0"/>
    <n v="0"/>
    <m/>
    <n v="61.6"/>
  </r>
  <r>
    <x v="252"/>
    <d v="2025-02-14T00:00:00"/>
    <x v="0"/>
    <s v="East"/>
    <s v="Desktop"/>
    <s v="Organic"/>
    <x v="1"/>
    <n v="1"/>
    <n v="1"/>
    <n v="1"/>
    <n v="0"/>
    <n v="0"/>
    <n v="0"/>
    <n v="0"/>
    <m/>
    <n v="46.8"/>
  </r>
  <r>
    <x v="253"/>
    <d v="2025-03-05T00:00:00"/>
    <x v="0"/>
    <s v="North"/>
    <s v="Mobile"/>
    <s v="Paid Search"/>
    <x v="2"/>
    <n v="0"/>
    <n v="0"/>
    <n v="0"/>
    <n v="0"/>
    <n v="0"/>
    <n v="1"/>
    <n v="0"/>
    <m/>
    <n v="58.5"/>
  </r>
  <r>
    <x v="254"/>
    <d v="2025-05-27T00:00:00"/>
    <x v="0"/>
    <s v="North"/>
    <s v="Mobile"/>
    <s v="Paid Search"/>
    <x v="0"/>
    <n v="0"/>
    <n v="0"/>
    <n v="0"/>
    <n v="0"/>
    <n v="0"/>
    <n v="0"/>
    <n v="0"/>
    <m/>
    <n v="70.900000000000006"/>
  </r>
  <r>
    <x v="255"/>
    <d v="2025-01-07T00:00:00"/>
    <x v="0"/>
    <s v="South"/>
    <s v="Mobile"/>
    <s v="Paid Search"/>
    <x v="1"/>
    <n v="1"/>
    <n v="0"/>
    <n v="0"/>
    <n v="0"/>
    <n v="0"/>
    <n v="0"/>
    <n v="0"/>
    <m/>
    <n v="48.4"/>
  </r>
  <r>
    <x v="256"/>
    <d v="2025-04-21T00:00:00"/>
    <x v="0"/>
    <s v="North"/>
    <s v="Mobile"/>
    <s v="Email"/>
    <x v="1"/>
    <n v="1"/>
    <n v="0"/>
    <n v="0"/>
    <n v="0"/>
    <n v="0"/>
    <n v="0"/>
    <n v="0"/>
    <m/>
    <n v="58"/>
  </r>
  <r>
    <x v="257"/>
    <d v="2025-05-13T00:00:00"/>
    <x v="0"/>
    <s v="North"/>
    <s v="Mobile"/>
    <s v="Paid Search"/>
    <x v="1"/>
    <n v="0"/>
    <n v="0"/>
    <n v="0"/>
    <n v="0"/>
    <n v="0"/>
    <n v="0"/>
    <n v="0"/>
    <m/>
    <n v="61.6"/>
  </r>
  <r>
    <x v="258"/>
    <d v="2025-01-28T00:00:00"/>
    <x v="0"/>
    <s v="East"/>
    <s v="Desktop"/>
    <s v="Organic"/>
    <x v="1"/>
    <n v="1"/>
    <n v="0"/>
    <n v="0"/>
    <n v="0"/>
    <n v="0"/>
    <n v="0"/>
    <n v="0"/>
    <m/>
    <n v="43.2"/>
  </r>
  <r>
    <x v="259"/>
    <d v="2025-03-16T00:00:00"/>
    <x v="0"/>
    <s v="East"/>
    <s v="Desktop"/>
    <s v="Paid Search"/>
    <x v="0"/>
    <n v="1"/>
    <n v="0"/>
    <n v="0"/>
    <n v="0"/>
    <n v="0"/>
    <n v="1"/>
    <n v="0"/>
    <m/>
    <n v="53.3"/>
  </r>
  <r>
    <x v="260"/>
    <d v="2025-04-10T00:00:00"/>
    <x v="0"/>
    <s v="East"/>
    <s v="Desktop"/>
    <s v="Social"/>
    <x v="0"/>
    <n v="0"/>
    <n v="0"/>
    <n v="0"/>
    <n v="0"/>
    <n v="0"/>
    <n v="0"/>
    <n v="0"/>
    <m/>
    <n v="33.9"/>
  </r>
  <r>
    <x v="261"/>
    <d v="2025-03-15T00:00:00"/>
    <x v="0"/>
    <s v="East"/>
    <s v="Desktop"/>
    <s v="Referral"/>
    <x v="1"/>
    <n v="1"/>
    <n v="1"/>
    <n v="1"/>
    <n v="0"/>
    <n v="0"/>
    <n v="0"/>
    <n v="0"/>
    <m/>
    <n v="35.4"/>
  </r>
  <r>
    <x v="262"/>
    <d v="2025-04-07T00:00:00"/>
    <x v="0"/>
    <s v="West"/>
    <s v="Desktop"/>
    <s v="Organic"/>
    <x v="0"/>
    <n v="1"/>
    <n v="0"/>
    <n v="0"/>
    <n v="0"/>
    <n v="0"/>
    <n v="0"/>
    <n v="0"/>
    <m/>
    <n v="45"/>
  </r>
  <r>
    <x v="263"/>
    <d v="2025-02-12T00:00:00"/>
    <x v="0"/>
    <s v="South"/>
    <s v="Mobile"/>
    <s v="Organic"/>
    <x v="1"/>
    <n v="1"/>
    <n v="1"/>
    <n v="0"/>
    <n v="0"/>
    <n v="0"/>
    <n v="0"/>
    <n v="0"/>
    <m/>
    <n v="86.5"/>
  </r>
  <r>
    <x v="264"/>
    <d v="2025-05-05T00:00:00"/>
    <x v="0"/>
    <s v="West"/>
    <s v="Mobile"/>
    <s v="Social"/>
    <x v="1"/>
    <n v="0"/>
    <n v="0"/>
    <n v="0"/>
    <n v="0"/>
    <n v="0"/>
    <n v="0"/>
    <n v="0"/>
    <m/>
    <n v="58.1"/>
  </r>
  <r>
    <x v="265"/>
    <d v="2025-03-11T00:00:00"/>
    <x v="0"/>
    <s v="West"/>
    <s v="Mobile"/>
    <s v="Referral"/>
    <x v="1"/>
    <n v="1"/>
    <n v="0"/>
    <n v="0"/>
    <n v="0"/>
    <n v="0"/>
    <n v="0"/>
    <n v="0"/>
    <m/>
    <n v="36.1"/>
  </r>
  <r>
    <x v="266"/>
    <d v="2025-02-10T00:00:00"/>
    <x v="0"/>
    <s v="East"/>
    <s v="Mobile"/>
    <s v="Social"/>
    <x v="1"/>
    <n v="0"/>
    <n v="0"/>
    <n v="0"/>
    <n v="0"/>
    <n v="0"/>
    <n v="0"/>
    <n v="0"/>
    <m/>
    <n v="62.8"/>
  </r>
  <r>
    <x v="267"/>
    <d v="2025-04-06T00:00:00"/>
    <x v="0"/>
    <s v="South"/>
    <s v="Mobile"/>
    <s v="Organic"/>
    <x v="1"/>
    <n v="0"/>
    <n v="0"/>
    <n v="0"/>
    <n v="0"/>
    <n v="0"/>
    <n v="0"/>
    <n v="0"/>
    <m/>
    <n v="54.2"/>
  </r>
  <r>
    <x v="268"/>
    <d v="2025-01-06T00:00:00"/>
    <x v="0"/>
    <s v="East"/>
    <s v="Mobile"/>
    <s v="Referral"/>
    <x v="1"/>
    <n v="0"/>
    <n v="0"/>
    <n v="0"/>
    <n v="0"/>
    <n v="0"/>
    <n v="0"/>
    <n v="0"/>
    <m/>
    <n v="50"/>
  </r>
  <r>
    <x v="269"/>
    <d v="2025-03-25T00:00:00"/>
    <x v="0"/>
    <s v="East"/>
    <s v="Tablet"/>
    <s v="Paid Search"/>
    <x v="0"/>
    <n v="1"/>
    <n v="0"/>
    <n v="0"/>
    <n v="0"/>
    <n v="0"/>
    <n v="0"/>
    <n v="0"/>
    <m/>
    <n v="62"/>
  </r>
  <r>
    <x v="270"/>
    <d v="2025-02-13T00:00:00"/>
    <x v="0"/>
    <s v="East"/>
    <s v="Desktop"/>
    <s v="Referral"/>
    <x v="1"/>
    <n v="1"/>
    <n v="0"/>
    <n v="0"/>
    <n v="0"/>
    <n v="0"/>
    <n v="0"/>
    <n v="0"/>
    <m/>
    <n v="29.3"/>
  </r>
  <r>
    <x v="271"/>
    <d v="2025-03-17T00:00:00"/>
    <x v="0"/>
    <s v="West"/>
    <s v="Desktop"/>
    <s v="Organic"/>
    <x v="1"/>
    <n v="1"/>
    <n v="0"/>
    <n v="0"/>
    <n v="0"/>
    <n v="0"/>
    <n v="0"/>
    <n v="0"/>
    <m/>
    <n v="67.900000000000006"/>
  </r>
  <r>
    <x v="272"/>
    <d v="2025-05-10T00:00:00"/>
    <x v="0"/>
    <s v="North"/>
    <s v="Mobile"/>
    <s v="Referral"/>
    <x v="1"/>
    <n v="1"/>
    <n v="1"/>
    <n v="1"/>
    <n v="0"/>
    <n v="0"/>
    <n v="0"/>
    <n v="0"/>
    <m/>
    <n v="67.599999999999994"/>
  </r>
  <r>
    <x v="273"/>
    <d v="2025-05-07T00:00:00"/>
    <x v="0"/>
    <s v="South"/>
    <s v="Mobile"/>
    <s v="Paid Search"/>
    <x v="0"/>
    <n v="0"/>
    <n v="0"/>
    <n v="0"/>
    <n v="0"/>
    <n v="0"/>
    <n v="0"/>
    <n v="0"/>
    <m/>
    <n v="67.400000000000006"/>
  </r>
  <r>
    <x v="274"/>
    <d v="2025-02-26T00:00:00"/>
    <x v="0"/>
    <s v="West"/>
    <s v="Desktop"/>
    <s v="Paid Search"/>
    <x v="2"/>
    <n v="0"/>
    <n v="0"/>
    <n v="0"/>
    <n v="0"/>
    <n v="0"/>
    <n v="2"/>
    <n v="0"/>
    <m/>
    <n v="53"/>
  </r>
  <r>
    <x v="275"/>
    <d v="2025-05-11T00:00:00"/>
    <x v="0"/>
    <s v="North"/>
    <s v="Mobile"/>
    <s v="Organic"/>
    <x v="0"/>
    <n v="0"/>
    <n v="0"/>
    <n v="0"/>
    <n v="0"/>
    <n v="0"/>
    <n v="0"/>
    <n v="0"/>
    <m/>
    <n v="65.5"/>
  </r>
  <r>
    <x v="276"/>
    <d v="2025-03-20T00:00:00"/>
    <x v="0"/>
    <s v="South"/>
    <s v="Mobile"/>
    <s v="Organic"/>
    <x v="0"/>
    <n v="1"/>
    <n v="1"/>
    <n v="0"/>
    <n v="0"/>
    <n v="0"/>
    <n v="0"/>
    <n v="0"/>
    <m/>
    <n v="49.6"/>
  </r>
  <r>
    <x v="277"/>
    <d v="2025-01-19T00:00:00"/>
    <x v="0"/>
    <s v="North"/>
    <s v="Mobile"/>
    <s v="Email"/>
    <x v="1"/>
    <n v="1"/>
    <n v="1"/>
    <n v="0"/>
    <n v="0"/>
    <n v="0"/>
    <n v="0"/>
    <n v="0"/>
    <m/>
    <n v="74.5"/>
  </r>
  <r>
    <x v="278"/>
    <d v="2025-03-08T00:00:00"/>
    <x v="0"/>
    <s v="North"/>
    <s v="Tablet"/>
    <s v="Paid Search"/>
    <x v="2"/>
    <n v="1"/>
    <n v="0"/>
    <n v="0"/>
    <n v="0"/>
    <n v="0"/>
    <n v="1"/>
    <n v="0"/>
    <m/>
    <n v="46.9"/>
  </r>
  <r>
    <x v="279"/>
    <d v="2025-04-25T00:00:00"/>
    <x v="0"/>
    <s v="North"/>
    <s v="Mobile"/>
    <s v="Organic"/>
    <x v="1"/>
    <n v="0"/>
    <n v="0"/>
    <n v="0"/>
    <n v="0"/>
    <n v="0"/>
    <n v="0"/>
    <n v="0"/>
    <m/>
    <n v="87.1"/>
  </r>
  <r>
    <x v="280"/>
    <d v="2025-04-04T00:00:00"/>
    <x v="0"/>
    <s v="North"/>
    <s v="Desktop"/>
    <s v="Organic"/>
    <x v="1"/>
    <n v="1"/>
    <n v="0"/>
    <n v="0"/>
    <n v="0"/>
    <n v="0"/>
    <n v="0"/>
    <n v="0"/>
    <m/>
    <n v="56"/>
  </r>
  <r>
    <x v="281"/>
    <d v="2025-05-01T00:00:00"/>
    <x v="0"/>
    <s v="East"/>
    <s v="Mobile"/>
    <s v="Paid Search"/>
    <x v="2"/>
    <n v="1"/>
    <n v="0"/>
    <n v="0"/>
    <n v="0"/>
    <n v="0"/>
    <n v="1"/>
    <n v="0"/>
    <m/>
    <n v="61.7"/>
  </r>
  <r>
    <x v="282"/>
    <d v="2025-01-21T00:00:00"/>
    <x v="0"/>
    <s v="South"/>
    <s v="Mobile"/>
    <s v="Social"/>
    <x v="1"/>
    <n v="1"/>
    <n v="0"/>
    <n v="0"/>
    <n v="0"/>
    <n v="0"/>
    <n v="1"/>
    <n v="0"/>
    <m/>
    <n v="70.5"/>
  </r>
  <r>
    <x v="283"/>
    <d v="2025-02-10T00:00:00"/>
    <x v="0"/>
    <s v="North"/>
    <s v="Desktop"/>
    <s v="Referral"/>
    <x v="0"/>
    <n v="1"/>
    <n v="0"/>
    <n v="0"/>
    <n v="0"/>
    <n v="0"/>
    <n v="0"/>
    <n v="0"/>
    <m/>
    <n v="33.4"/>
  </r>
  <r>
    <x v="284"/>
    <d v="2025-05-06T00:00:00"/>
    <x v="0"/>
    <s v="South"/>
    <s v="Desktop"/>
    <s v="Organic"/>
    <x v="1"/>
    <n v="1"/>
    <n v="0"/>
    <n v="0"/>
    <n v="0"/>
    <n v="0"/>
    <n v="0"/>
    <n v="0"/>
    <m/>
    <n v="57.5"/>
  </r>
  <r>
    <x v="285"/>
    <d v="2025-02-08T00:00:00"/>
    <x v="0"/>
    <s v="North"/>
    <s v="Desktop"/>
    <s v="Paid Search"/>
    <x v="0"/>
    <n v="1"/>
    <n v="1"/>
    <n v="0"/>
    <n v="0"/>
    <n v="0"/>
    <n v="0"/>
    <n v="0"/>
    <m/>
    <n v="85.7"/>
  </r>
  <r>
    <x v="286"/>
    <d v="2025-05-31T00:00:00"/>
    <x v="0"/>
    <s v="East"/>
    <s v="Mobile"/>
    <s v="Social"/>
    <x v="1"/>
    <n v="1"/>
    <n v="0"/>
    <n v="0"/>
    <n v="0"/>
    <n v="0"/>
    <n v="0"/>
    <n v="0"/>
    <m/>
    <n v="41.9"/>
  </r>
  <r>
    <x v="287"/>
    <d v="2025-02-07T00:00:00"/>
    <x v="0"/>
    <s v="West"/>
    <s v="Mobile"/>
    <s v="Email"/>
    <x v="0"/>
    <n v="1"/>
    <n v="0"/>
    <n v="0"/>
    <n v="0"/>
    <n v="0"/>
    <n v="0"/>
    <n v="0"/>
    <m/>
    <n v="70.2"/>
  </r>
  <r>
    <x v="288"/>
    <d v="2025-02-10T00:00:00"/>
    <x v="0"/>
    <s v="North"/>
    <s v="Mobile"/>
    <s v="Social"/>
    <x v="1"/>
    <n v="1"/>
    <n v="0"/>
    <n v="0"/>
    <n v="0"/>
    <n v="0"/>
    <n v="0"/>
    <n v="0"/>
    <m/>
    <n v="42.6"/>
  </r>
  <r>
    <x v="289"/>
    <d v="2025-01-31T00:00:00"/>
    <x v="0"/>
    <s v="West"/>
    <s v="Mobile"/>
    <s v="Social"/>
    <x v="0"/>
    <n v="0"/>
    <n v="0"/>
    <n v="0"/>
    <n v="0"/>
    <n v="0"/>
    <n v="2"/>
    <n v="0"/>
    <m/>
    <n v="30.4"/>
  </r>
  <r>
    <x v="290"/>
    <d v="2025-03-16T00:00:00"/>
    <x v="0"/>
    <s v="East"/>
    <s v="Mobile"/>
    <s v="Paid Search"/>
    <x v="0"/>
    <n v="1"/>
    <n v="0"/>
    <n v="0"/>
    <n v="0"/>
    <n v="0"/>
    <n v="0"/>
    <n v="0"/>
    <m/>
    <n v="63.7"/>
  </r>
  <r>
    <x v="291"/>
    <d v="2025-04-24T00:00:00"/>
    <x v="0"/>
    <s v="South"/>
    <s v="Mobile"/>
    <s v="Social"/>
    <x v="0"/>
    <n v="0"/>
    <n v="0"/>
    <n v="0"/>
    <n v="0"/>
    <n v="0"/>
    <n v="0"/>
    <n v="0"/>
    <m/>
    <n v="42.7"/>
  </r>
  <r>
    <x v="292"/>
    <d v="2025-01-28T00:00:00"/>
    <x v="0"/>
    <s v="North"/>
    <s v="Mobile"/>
    <s v="Organic"/>
    <x v="1"/>
    <n v="0"/>
    <n v="0"/>
    <n v="0"/>
    <n v="0"/>
    <n v="0"/>
    <n v="0"/>
    <n v="0"/>
    <m/>
    <n v="74.3"/>
  </r>
  <r>
    <x v="293"/>
    <d v="2025-02-16T00:00:00"/>
    <x v="0"/>
    <s v="West"/>
    <s v="Desktop"/>
    <s v="Email"/>
    <x v="1"/>
    <n v="1"/>
    <n v="0"/>
    <n v="0"/>
    <n v="0"/>
    <n v="0"/>
    <n v="0"/>
    <n v="0"/>
    <m/>
    <n v="40.6"/>
  </r>
  <r>
    <x v="294"/>
    <d v="2025-03-23T00:00:00"/>
    <x v="0"/>
    <s v="East"/>
    <s v="Mobile"/>
    <s v="Organic"/>
    <x v="2"/>
    <n v="0"/>
    <n v="0"/>
    <n v="0"/>
    <n v="0"/>
    <n v="0"/>
    <n v="0"/>
    <n v="0"/>
    <m/>
    <n v="67"/>
  </r>
  <r>
    <x v="295"/>
    <d v="2025-05-31T00:00:00"/>
    <x v="0"/>
    <s v="East"/>
    <s v="Mobile"/>
    <s v="Paid Search"/>
    <x v="2"/>
    <n v="0"/>
    <n v="0"/>
    <n v="0"/>
    <n v="0"/>
    <n v="0"/>
    <n v="0"/>
    <n v="0"/>
    <m/>
    <n v="51"/>
  </r>
  <r>
    <x v="296"/>
    <d v="2025-04-13T00:00:00"/>
    <x v="0"/>
    <s v="West"/>
    <s v="Mobile"/>
    <s v="Social"/>
    <x v="0"/>
    <n v="1"/>
    <n v="1"/>
    <n v="0"/>
    <n v="0"/>
    <n v="0"/>
    <n v="1"/>
    <n v="0"/>
    <m/>
    <n v="54.8"/>
  </r>
  <r>
    <x v="297"/>
    <d v="2025-05-14T00:00:00"/>
    <x v="0"/>
    <s v="North"/>
    <s v="Tablet"/>
    <s v="Email"/>
    <x v="0"/>
    <n v="0"/>
    <n v="0"/>
    <n v="0"/>
    <n v="0"/>
    <n v="0"/>
    <n v="0"/>
    <n v="0"/>
    <m/>
    <n v="40.799999999999997"/>
  </r>
  <r>
    <x v="298"/>
    <d v="2025-02-19T00:00:00"/>
    <x v="0"/>
    <s v="East"/>
    <s v="Mobile"/>
    <s v="Paid Search"/>
    <x v="1"/>
    <n v="0"/>
    <n v="0"/>
    <n v="0"/>
    <n v="0"/>
    <n v="0"/>
    <n v="0"/>
    <n v="0"/>
    <m/>
    <n v="48.8"/>
  </r>
  <r>
    <x v="299"/>
    <d v="2025-01-24T00:00:00"/>
    <x v="0"/>
    <s v="South"/>
    <s v="Mobile"/>
    <m/>
    <x v="0"/>
    <n v="1"/>
    <n v="1"/>
    <n v="1"/>
    <n v="1"/>
    <n v="1198.69"/>
    <n v="1"/>
    <n v="0"/>
    <n v="6"/>
    <n v="88.9"/>
  </r>
  <r>
    <x v="300"/>
    <d v="2025-05-09T00:00:00"/>
    <x v="0"/>
    <s v="North"/>
    <s v="Mobile"/>
    <s v="Email"/>
    <x v="0"/>
    <n v="1"/>
    <n v="1"/>
    <n v="1"/>
    <n v="0"/>
    <n v="0"/>
    <n v="1"/>
    <n v="0"/>
    <m/>
    <n v="60.5"/>
  </r>
  <r>
    <x v="301"/>
    <d v="2025-02-11T00:00:00"/>
    <x v="0"/>
    <s v="North"/>
    <s v="Mobile"/>
    <s v="Organic"/>
    <x v="0"/>
    <n v="1"/>
    <n v="0"/>
    <n v="0"/>
    <n v="0"/>
    <n v="0"/>
    <n v="0"/>
    <n v="0"/>
    <m/>
    <n v="63.6"/>
  </r>
  <r>
    <x v="302"/>
    <d v="2025-02-26T00:00:00"/>
    <x v="0"/>
    <s v="North"/>
    <s v="Desktop"/>
    <s v="Organic"/>
    <x v="0"/>
    <n v="1"/>
    <n v="1"/>
    <n v="1"/>
    <n v="1"/>
    <n v="6788.95"/>
    <n v="0"/>
    <n v="0"/>
    <n v="17"/>
    <n v="58.4"/>
  </r>
  <r>
    <x v="303"/>
    <d v="2025-02-12T00:00:00"/>
    <x v="0"/>
    <s v="South"/>
    <s v="Mobile"/>
    <s v="Social"/>
    <x v="2"/>
    <n v="0"/>
    <n v="0"/>
    <n v="0"/>
    <n v="0"/>
    <n v="0"/>
    <n v="0"/>
    <n v="0"/>
    <m/>
    <n v="52.7"/>
  </r>
  <r>
    <x v="304"/>
    <d v="2025-01-05T00:00:00"/>
    <x v="0"/>
    <s v="South"/>
    <s v="Tablet"/>
    <s v="Social"/>
    <x v="2"/>
    <n v="1"/>
    <n v="1"/>
    <n v="1"/>
    <n v="0"/>
    <n v="0"/>
    <n v="2"/>
    <n v="0"/>
    <m/>
    <n v="48.9"/>
  </r>
  <r>
    <x v="305"/>
    <d v="2025-05-19T00:00:00"/>
    <x v="0"/>
    <s v="West"/>
    <s v="Mobile"/>
    <s v="Organic"/>
    <x v="2"/>
    <n v="0"/>
    <n v="0"/>
    <n v="0"/>
    <n v="0"/>
    <n v="0"/>
    <n v="0"/>
    <n v="0"/>
    <m/>
    <n v="79.7"/>
  </r>
  <r>
    <x v="306"/>
    <d v="2025-02-02T00:00:00"/>
    <x v="0"/>
    <s v="North"/>
    <s v="Mobile"/>
    <s v="Social"/>
    <x v="1"/>
    <n v="1"/>
    <n v="0"/>
    <n v="0"/>
    <n v="0"/>
    <n v="0"/>
    <n v="0"/>
    <n v="0"/>
    <m/>
    <n v="44.9"/>
  </r>
  <r>
    <x v="307"/>
    <d v="2025-01-30T00:00:00"/>
    <x v="0"/>
    <s v="West"/>
    <s v="Tablet"/>
    <s v="Paid Search"/>
    <x v="1"/>
    <n v="1"/>
    <n v="1"/>
    <n v="1"/>
    <n v="1"/>
    <n v="409.39"/>
    <n v="0"/>
    <n v="0"/>
    <n v="10"/>
    <n v="38.799999999999997"/>
  </r>
  <r>
    <x v="308"/>
    <d v="2025-05-01T00:00:00"/>
    <x v="0"/>
    <s v="South"/>
    <s v="Desktop"/>
    <s v="Email"/>
    <x v="1"/>
    <n v="0"/>
    <n v="0"/>
    <n v="0"/>
    <n v="0"/>
    <n v="0"/>
    <n v="0"/>
    <n v="0"/>
    <m/>
    <n v="70"/>
  </r>
  <r>
    <x v="309"/>
    <d v="2025-05-16T00:00:00"/>
    <x v="0"/>
    <s v="South"/>
    <s v="Desktop"/>
    <s v="Referral"/>
    <x v="0"/>
    <n v="1"/>
    <n v="0"/>
    <n v="0"/>
    <n v="0"/>
    <n v="0"/>
    <n v="0"/>
    <n v="0"/>
    <m/>
    <n v="77.7"/>
  </r>
  <r>
    <x v="310"/>
    <d v="2025-03-08T00:00:00"/>
    <x v="0"/>
    <s v="West"/>
    <s v="Mobile"/>
    <s v="Organic"/>
    <x v="1"/>
    <n v="0"/>
    <n v="0"/>
    <n v="0"/>
    <n v="0"/>
    <n v="0"/>
    <n v="0"/>
    <n v="0"/>
    <m/>
    <n v="71.2"/>
  </r>
  <r>
    <x v="311"/>
    <d v="2025-04-04T00:00:00"/>
    <x v="0"/>
    <s v="North"/>
    <s v="Mobile"/>
    <s v="Organic"/>
    <x v="0"/>
    <n v="1"/>
    <n v="0"/>
    <n v="0"/>
    <n v="0"/>
    <n v="0"/>
    <n v="0"/>
    <n v="0"/>
    <m/>
    <n v="43.8"/>
  </r>
  <r>
    <x v="312"/>
    <d v="2025-05-30T00:00:00"/>
    <x v="0"/>
    <s v="South"/>
    <s v="Tablet"/>
    <s v="Organic"/>
    <x v="1"/>
    <n v="1"/>
    <n v="0"/>
    <n v="0"/>
    <n v="0"/>
    <n v="0"/>
    <n v="0"/>
    <n v="0"/>
    <m/>
    <n v="50.9"/>
  </r>
  <r>
    <x v="313"/>
    <d v="2025-01-05T00:00:00"/>
    <x v="0"/>
    <s v="West"/>
    <s v="Mobile"/>
    <s v="Organic"/>
    <x v="2"/>
    <n v="0"/>
    <n v="0"/>
    <n v="0"/>
    <n v="0"/>
    <n v="0"/>
    <n v="0"/>
    <n v="0"/>
    <m/>
    <n v="58.5"/>
  </r>
  <r>
    <x v="314"/>
    <d v="2025-01-20T00:00:00"/>
    <x v="0"/>
    <s v="East"/>
    <s v="Mobile"/>
    <s v="Organic"/>
    <x v="1"/>
    <n v="1"/>
    <n v="1"/>
    <n v="1"/>
    <n v="0"/>
    <n v="0"/>
    <n v="0"/>
    <n v="0"/>
    <m/>
    <n v="53.6"/>
  </r>
  <r>
    <x v="315"/>
    <d v="2025-05-01T00:00:00"/>
    <x v="0"/>
    <s v="East"/>
    <s v="Mobile"/>
    <s v="Email"/>
    <x v="1"/>
    <n v="0"/>
    <n v="0"/>
    <n v="0"/>
    <n v="0"/>
    <n v="0"/>
    <n v="0"/>
    <n v="0"/>
    <m/>
    <n v="54.9"/>
  </r>
  <r>
    <x v="316"/>
    <d v="2025-03-05T00:00:00"/>
    <x v="0"/>
    <s v="North"/>
    <s v="Desktop"/>
    <s v="Organic"/>
    <x v="2"/>
    <n v="0"/>
    <n v="0"/>
    <n v="0"/>
    <n v="0"/>
    <n v="0"/>
    <n v="0"/>
    <n v="0"/>
    <m/>
    <n v="57.3"/>
  </r>
  <r>
    <x v="317"/>
    <d v="2025-04-01T00:00:00"/>
    <x v="0"/>
    <s v="East"/>
    <s v="Desktop"/>
    <s v="Referral"/>
    <x v="1"/>
    <n v="1"/>
    <n v="0"/>
    <n v="0"/>
    <n v="0"/>
    <n v="0"/>
    <n v="0"/>
    <n v="0"/>
    <m/>
    <n v="52.1"/>
  </r>
  <r>
    <x v="318"/>
    <d v="2025-05-03T00:00:00"/>
    <x v="0"/>
    <s v="North"/>
    <s v="Mobile"/>
    <s v="Organic"/>
    <x v="1"/>
    <n v="1"/>
    <n v="0"/>
    <n v="0"/>
    <n v="0"/>
    <n v="0"/>
    <n v="0"/>
    <n v="0"/>
    <m/>
    <n v="80"/>
  </r>
  <r>
    <x v="319"/>
    <d v="2025-03-06T00:00:00"/>
    <x v="0"/>
    <s v="South"/>
    <s v="Desktop"/>
    <s v="Paid Search"/>
    <x v="2"/>
    <n v="1"/>
    <n v="0"/>
    <n v="0"/>
    <n v="0"/>
    <n v="0"/>
    <n v="0"/>
    <n v="0"/>
    <m/>
    <n v="39.299999999999997"/>
  </r>
  <r>
    <x v="320"/>
    <d v="2025-04-01T00:00:00"/>
    <x v="0"/>
    <s v="North"/>
    <s v="Desktop"/>
    <s v="Referral"/>
    <x v="2"/>
    <n v="0"/>
    <n v="0"/>
    <n v="0"/>
    <n v="0"/>
    <n v="0"/>
    <n v="0"/>
    <n v="0"/>
    <m/>
    <n v="45.7"/>
  </r>
  <r>
    <x v="321"/>
    <d v="2025-02-09T00:00:00"/>
    <x v="0"/>
    <s v="North"/>
    <s v="Desktop"/>
    <s v="Social"/>
    <x v="0"/>
    <n v="1"/>
    <n v="0"/>
    <n v="0"/>
    <n v="0"/>
    <n v="0"/>
    <n v="2"/>
    <n v="0"/>
    <m/>
    <n v="61.2"/>
  </r>
  <r>
    <x v="322"/>
    <d v="2025-04-12T00:00:00"/>
    <x v="0"/>
    <s v="West"/>
    <s v="Mobile"/>
    <s v="Organic"/>
    <x v="0"/>
    <n v="1"/>
    <n v="1"/>
    <n v="0"/>
    <n v="0"/>
    <n v="0"/>
    <n v="0"/>
    <n v="0"/>
    <m/>
    <n v="66.2"/>
  </r>
  <r>
    <x v="323"/>
    <d v="2025-03-18T00:00:00"/>
    <x v="0"/>
    <s v="East"/>
    <s v="Mobile"/>
    <s v="Social"/>
    <x v="1"/>
    <n v="1"/>
    <n v="1"/>
    <n v="1"/>
    <n v="0"/>
    <n v="0"/>
    <n v="0"/>
    <n v="0"/>
    <m/>
    <n v="61.3"/>
  </r>
  <r>
    <x v="324"/>
    <d v="2025-04-03T00:00:00"/>
    <x v="0"/>
    <s v="East"/>
    <s v="Mobile"/>
    <s v="Paid Search"/>
    <x v="1"/>
    <n v="1"/>
    <n v="0"/>
    <n v="0"/>
    <n v="0"/>
    <n v="0"/>
    <n v="0"/>
    <n v="0"/>
    <m/>
    <n v="72.2"/>
  </r>
  <r>
    <x v="325"/>
    <d v="2025-04-02T00:00:00"/>
    <x v="0"/>
    <s v="West"/>
    <s v="Mobile"/>
    <s v="Email"/>
    <x v="2"/>
    <n v="1"/>
    <n v="1"/>
    <n v="1"/>
    <n v="0"/>
    <n v="0"/>
    <n v="0"/>
    <n v="0"/>
    <m/>
    <n v="84"/>
  </r>
  <r>
    <x v="326"/>
    <d v="2025-05-10T00:00:00"/>
    <x v="0"/>
    <s v="West"/>
    <s v="Desktop"/>
    <s v="Email"/>
    <x v="0"/>
    <n v="0"/>
    <n v="0"/>
    <n v="0"/>
    <n v="0"/>
    <n v="0"/>
    <n v="0"/>
    <n v="0"/>
    <m/>
    <n v="59.8"/>
  </r>
  <r>
    <x v="327"/>
    <d v="2025-04-29T00:00:00"/>
    <x v="0"/>
    <s v="West"/>
    <s v="Desktop"/>
    <s v="Paid Search"/>
    <x v="1"/>
    <n v="1"/>
    <n v="0"/>
    <n v="0"/>
    <n v="0"/>
    <n v="0"/>
    <n v="0"/>
    <n v="0"/>
    <m/>
    <n v="64.900000000000006"/>
  </r>
  <r>
    <x v="328"/>
    <d v="2025-02-27T00:00:00"/>
    <x v="0"/>
    <s v="South"/>
    <s v="Mobile"/>
    <s v="Paid Search"/>
    <x v="1"/>
    <n v="1"/>
    <n v="0"/>
    <n v="0"/>
    <n v="0"/>
    <n v="0"/>
    <n v="0"/>
    <n v="0"/>
    <m/>
    <n v="66.8"/>
  </r>
  <r>
    <x v="329"/>
    <d v="2025-04-10T00:00:00"/>
    <x v="0"/>
    <s v="North"/>
    <s v="Desktop"/>
    <s v="Organic"/>
    <x v="2"/>
    <n v="0"/>
    <n v="0"/>
    <n v="0"/>
    <n v="0"/>
    <n v="0"/>
    <n v="0"/>
    <n v="0"/>
    <m/>
    <n v="70.900000000000006"/>
  </r>
  <r>
    <x v="330"/>
    <d v="2025-02-13T00:00:00"/>
    <x v="0"/>
    <s v="East"/>
    <s v="Mobile"/>
    <s v="Organic"/>
    <x v="1"/>
    <n v="1"/>
    <n v="1"/>
    <n v="1"/>
    <n v="1"/>
    <n v="426.82"/>
    <n v="1"/>
    <n v="0"/>
    <n v="14"/>
    <n v="68.8"/>
  </r>
  <r>
    <x v="331"/>
    <d v="2025-05-03T00:00:00"/>
    <x v="0"/>
    <s v="North"/>
    <s v="Mobile"/>
    <s v="Organic"/>
    <x v="0"/>
    <n v="1"/>
    <n v="0"/>
    <n v="0"/>
    <n v="0"/>
    <n v="0"/>
    <n v="0"/>
    <n v="0"/>
    <m/>
    <n v="72.400000000000006"/>
  </r>
  <r>
    <x v="332"/>
    <d v="2025-03-10T00:00:00"/>
    <x v="0"/>
    <s v="East"/>
    <s v="Mobile"/>
    <s v="Organic"/>
    <x v="0"/>
    <n v="0"/>
    <n v="0"/>
    <n v="0"/>
    <n v="0"/>
    <n v="0"/>
    <n v="0"/>
    <n v="0"/>
    <m/>
    <n v="63.3"/>
  </r>
  <r>
    <x v="333"/>
    <d v="2025-01-10T00:00:00"/>
    <x v="0"/>
    <s v="West"/>
    <s v="Tablet"/>
    <s v="Social"/>
    <x v="1"/>
    <n v="1"/>
    <n v="0"/>
    <n v="0"/>
    <n v="0"/>
    <n v="0"/>
    <n v="0"/>
    <n v="0"/>
    <m/>
    <n v="30.8"/>
  </r>
  <r>
    <x v="334"/>
    <d v="2025-01-16T00:00:00"/>
    <x v="0"/>
    <s v="South"/>
    <s v="Mobile"/>
    <s v="Email"/>
    <x v="0"/>
    <n v="1"/>
    <n v="1"/>
    <n v="1"/>
    <n v="1"/>
    <n v="874.55"/>
    <n v="0"/>
    <n v="0"/>
    <n v="9"/>
    <n v="44.2"/>
  </r>
  <r>
    <x v="335"/>
    <d v="2025-02-11T00:00:00"/>
    <x v="0"/>
    <s v="South"/>
    <s v="Desktop"/>
    <s v="Organic"/>
    <x v="2"/>
    <n v="1"/>
    <n v="1"/>
    <n v="1"/>
    <n v="1"/>
    <n v="2206.88"/>
    <n v="0"/>
    <n v="0"/>
    <n v="10"/>
    <n v="56.2"/>
  </r>
  <r>
    <x v="336"/>
    <d v="2025-04-13T00:00:00"/>
    <x v="0"/>
    <s v="West"/>
    <s v="Mobile"/>
    <s v="Organic"/>
    <x v="1"/>
    <n v="0"/>
    <n v="0"/>
    <n v="0"/>
    <n v="0"/>
    <n v="0"/>
    <n v="0"/>
    <n v="0"/>
    <m/>
    <n v="40.4"/>
  </r>
  <r>
    <x v="337"/>
    <d v="2025-02-08T00:00:00"/>
    <x v="0"/>
    <s v="East"/>
    <s v="Mobile"/>
    <s v="Paid Search"/>
    <x v="1"/>
    <n v="1"/>
    <n v="1"/>
    <n v="1"/>
    <n v="0"/>
    <n v="0"/>
    <n v="0"/>
    <n v="0"/>
    <m/>
    <n v="68.099999999999994"/>
  </r>
  <r>
    <x v="338"/>
    <d v="2025-03-31T00:00:00"/>
    <x v="0"/>
    <s v="West"/>
    <s v="Desktop"/>
    <s v="Referral"/>
    <x v="1"/>
    <n v="1"/>
    <n v="0"/>
    <n v="0"/>
    <n v="0"/>
    <n v="0"/>
    <n v="0"/>
    <n v="0"/>
    <m/>
    <n v="86.3"/>
  </r>
  <r>
    <x v="339"/>
    <d v="2025-01-31T00:00:00"/>
    <x v="0"/>
    <s v="West"/>
    <s v="Desktop"/>
    <s v="Referral"/>
    <x v="1"/>
    <n v="1"/>
    <n v="1"/>
    <n v="0"/>
    <n v="0"/>
    <n v="0"/>
    <n v="0"/>
    <n v="0"/>
    <m/>
    <n v="42.9"/>
  </r>
  <r>
    <x v="340"/>
    <d v="2025-05-08T00:00:00"/>
    <x v="0"/>
    <s v="West"/>
    <s v="Tablet"/>
    <s v="Organic"/>
    <x v="1"/>
    <n v="0"/>
    <n v="0"/>
    <n v="0"/>
    <n v="0"/>
    <n v="0"/>
    <n v="0"/>
    <n v="0"/>
    <m/>
    <n v="61.4"/>
  </r>
  <r>
    <x v="341"/>
    <d v="2025-03-15T00:00:00"/>
    <x v="0"/>
    <s v="North"/>
    <s v="Mobile"/>
    <s v="Paid Search"/>
    <x v="1"/>
    <n v="1"/>
    <n v="0"/>
    <n v="0"/>
    <n v="0"/>
    <n v="0"/>
    <n v="1"/>
    <n v="0"/>
    <m/>
    <n v="73.3"/>
  </r>
  <r>
    <x v="342"/>
    <d v="2025-01-13T00:00:00"/>
    <x v="0"/>
    <s v="South"/>
    <s v="Mobile"/>
    <s v="Referral"/>
    <x v="0"/>
    <n v="1"/>
    <n v="0"/>
    <n v="0"/>
    <n v="0"/>
    <n v="0"/>
    <n v="0"/>
    <n v="0"/>
    <m/>
    <n v="59.4"/>
  </r>
  <r>
    <x v="343"/>
    <d v="2025-03-07T00:00:00"/>
    <x v="0"/>
    <s v="South"/>
    <s v="Tablet"/>
    <s v="Organic"/>
    <x v="0"/>
    <n v="1"/>
    <n v="0"/>
    <n v="0"/>
    <n v="0"/>
    <n v="0"/>
    <n v="0"/>
    <n v="0"/>
    <m/>
    <n v="35.200000000000003"/>
  </r>
  <r>
    <x v="344"/>
    <d v="2025-02-10T00:00:00"/>
    <x v="0"/>
    <s v="South"/>
    <s v="Mobile"/>
    <s v="Social"/>
    <x v="2"/>
    <n v="1"/>
    <n v="1"/>
    <n v="0"/>
    <n v="0"/>
    <n v="0"/>
    <n v="0"/>
    <n v="0"/>
    <m/>
    <n v="55.3"/>
  </r>
  <r>
    <x v="345"/>
    <d v="2025-03-12T00:00:00"/>
    <x v="0"/>
    <s v="East"/>
    <s v="Mobile"/>
    <s v="Paid Search"/>
    <x v="1"/>
    <n v="0"/>
    <n v="0"/>
    <n v="0"/>
    <n v="0"/>
    <n v="0"/>
    <n v="0"/>
    <n v="0"/>
    <m/>
    <n v="37.5"/>
  </r>
  <r>
    <x v="346"/>
    <d v="2025-01-03T00:00:00"/>
    <x v="0"/>
    <s v="South"/>
    <s v="Desktop"/>
    <s v="Paid Search"/>
    <x v="1"/>
    <n v="0"/>
    <n v="0"/>
    <n v="0"/>
    <n v="0"/>
    <n v="0"/>
    <n v="1"/>
    <n v="0"/>
    <m/>
    <n v="66.400000000000006"/>
  </r>
  <r>
    <x v="347"/>
    <d v="2025-04-28T00:00:00"/>
    <x v="0"/>
    <s v="North"/>
    <s v="Tablet"/>
    <s v="Social"/>
    <x v="0"/>
    <n v="1"/>
    <n v="0"/>
    <n v="0"/>
    <n v="0"/>
    <n v="0"/>
    <n v="0"/>
    <n v="0"/>
    <m/>
    <n v="61.9"/>
  </r>
  <r>
    <x v="348"/>
    <d v="2025-04-17T00:00:00"/>
    <x v="0"/>
    <s v="East"/>
    <s v="Mobile"/>
    <s v="Organic"/>
    <x v="1"/>
    <n v="0"/>
    <n v="0"/>
    <n v="0"/>
    <n v="0"/>
    <n v="0"/>
    <n v="0"/>
    <n v="0"/>
    <m/>
    <n v="56"/>
  </r>
  <r>
    <x v="349"/>
    <d v="2025-05-23T00:00:00"/>
    <x v="0"/>
    <s v="South"/>
    <s v="Desktop"/>
    <s v="Social"/>
    <x v="0"/>
    <n v="1"/>
    <n v="0"/>
    <n v="0"/>
    <n v="0"/>
    <n v="0"/>
    <n v="0"/>
    <n v="0"/>
    <m/>
    <n v="55.5"/>
  </r>
  <r>
    <x v="350"/>
    <d v="2025-02-19T00:00:00"/>
    <x v="0"/>
    <s v="West"/>
    <s v="Tablet"/>
    <s v="Referral"/>
    <x v="0"/>
    <n v="1"/>
    <n v="0"/>
    <n v="0"/>
    <n v="0"/>
    <n v="0"/>
    <n v="0"/>
    <n v="0"/>
    <m/>
    <n v="37.200000000000003"/>
  </r>
  <r>
    <x v="351"/>
    <d v="2025-01-18T00:00:00"/>
    <x v="0"/>
    <s v="South"/>
    <s v="Desktop"/>
    <s v="Organic"/>
    <x v="1"/>
    <n v="1"/>
    <n v="1"/>
    <n v="0"/>
    <n v="0"/>
    <n v="0"/>
    <n v="1"/>
    <n v="0"/>
    <m/>
    <n v="70.5"/>
  </r>
  <r>
    <x v="352"/>
    <d v="2025-04-17T00:00:00"/>
    <x v="0"/>
    <s v="North"/>
    <s v="Mobile"/>
    <s v="Organic"/>
    <x v="1"/>
    <n v="0"/>
    <n v="0"/>
    <n v="0"/>
    <n v="0"/>
    <n v="0"/>
    <n v="0"/>
    <n v="0"/>
    <m/>
    <n v="61.2"/>
  </r>
  <r>
    <x v="353"/>
    <d v="2025-04-12T00:00:00"/>
    <x v="0"/>
    <s v="East"/>
    <s v="Tablet"/>
    <s v="Social"/>
    <x v="1"/>
    <n v="1"/>
    <n v="1"/>
    <n v="1"/>
    <n v="0"/>
    <n v="0"/>
    <n v="0"/>
    <n v="0"/>
    <m/>
    <n v="64.599999999999994"/>
  </r>
  <r>
    <x v="354"/>
    <d v="2025-05-16T00:00:00"/>
    <x v="0"/>
    <s v="East"/>
    <s v="Mobile"/>
    <s v="Email"/>
    <x v="1"/>
    <n v="1"/>
    <n v="1"/>
    <n v="0"/>
    <n v="0"/>
    <n v="0"/>
    <n v="0"/>
    <n v="0"/>
    <m/>
    <n v="91.7"/>
  </r>
  <r>
    <x v="355"/>
    <d v="2025-03-24T00:00:00"/>
    <x v="0"/>
    <s v="West"/>
    <s v="Mobile"/>
    <s v="Social"/>
    <x v="1"/>
    <n v="0"/>
    <n v="0"/>
    <n v="0"/>
    <n v="0"/>
    <n v="0"/>
    <n v="0"/>
    <n v="0"/>
    <m/>
    <n v="46"/>
  </r>
  <r>
    <x v="356"/>
    <d v="2025-02-16T00:00:00"/>
    <x v="0"/>
    <s v="West"/>
    <s v="Mobile"/>
    <s v="Organic"/>
    <x v="0"/>
    <n v="0"/>
    <n v="0"/>
    <n v="0"/>
    <n v="0"/>
    <n v="0"/>
    <n v="0"/>
    <n v="0"/>
    <m/>
    <n v="50.8"/>
  </r>
  <r>
    <x v="357"/>
    <d v="2025-03-19T00:00:00"/>
    <x v="0"/>
    <s v="North"/>
    <s v="Tablet"/>
    <s v="Organic"/>
    <x v="1"/>
    <n v="1"/>
    <n v="1"/>
    <n v="1"/>
    <n v="0"/>
    <n v="0"/>
    <n v="0"/>
    <n v="0"/>
    <m/>
    <n v="52.8"/>
  </r>
  <r>
    <x v="358"/>
    <d v="2025-04-21T00:00:00"/>
    <x v="0"/>
    <s v="South"/>
    <s v="Mobile"/>
    <s v="Organic"/>
    <x v="0"/>
    <n v="1"/>
    <n v="1"/>
    <n v="1"/>
    <n v="0"/>
    <n v="0"/>
    <n v="0"/>
    <n v="0"/>
    <m/>
    <n v="63"/>
  </r>
  <r>
    <x v="359"/>
    <d v="2025-01-11T00:00:00"/>
    <x v="0"/>
    <s v="West"/>
    <s v="Mobile"/>
    <s v="Organic"/>
    <x v="1"/>
    <n v="0"/>
    <n v="0"/>
    <n v="0"/>
    <n v="0"/>
    <n v="0"/>
    <n v="0"/>
    <n v="0"/>
    <m/>
    <n v="28.4"/>
  </r>
  <r>
    <x v="360"/>
    <d v="2025-04-24T00:00:00"/>
    <x v="0"/>
    <s v="West"/>
    <s v="Desktop"/>
    <s v="Organic"/>
    <x v="1"/>
    <n v="1"/>
    <n v="1"/>
    <n v="0"/>
    <n v="0"/>
    <n v="0"/>
    <n v="0"/>
    <n v="0"/>
    <m/>
    <n v="65.599999999999994"/>
  </r>
  <r>
    <x v="361"/>
    <d v="2025-03-13T00:00:00"/>
    <x v="0"/>
    <s v="North"/>
    <s v="Mobile"/>
    <s v="Social"/>
    <x v="2"/>
    <n v="1"/>
    <n v="1"/>
    <n v="1"/>
    <n v="0"/>
    <n v="0"/>
    <n v="0"/>
    <n v="0"/>
    <m/>
    <n v="54.7"/>
  </r>
  <r>
    <x v="362"/>
    <d v="2025-01-30T00:00:00"/>
    <x v="0"/>
    <s v="North"/>
    <s v="Mobile"/>
    <s v="Social"/>
    <x v="0"/>
    <n v="0"/>
    <n v="0"/>
    <n v="0"/>
    <n v="0"/>
    <n v="0"/>
    <n v="0"/>
    <n v="0"/>
    <m/>
    <n v="36.1"/>
  </r>
  <r>
    <x v="363"/>
    <d v="2025-05-08T00:00:00"/>
    <x v="0"/>
    <s v="South"/>
    <s v="Mobile"/>
    <s v="Social"/>
    <x v="0"/>
    <n v="1"/>
    <n v="1"/>
    <n v="1"/>
    <n v="0"/>
    <n v="0"/>
    <n v="0"/>
    <n v="0"/>
    <m/>
    <n v="70.400000000000006"/>
  </r>
  <r>
    <x v="364"/>
    <d v="2025-01-08T00:00:00"/>
    <x v="0"/>
    <s v="East"/>
    <s v="Desktop"/>
    <s v="Social"/>
    <x v="1"/>
    <n v="1"/>
    <n v="0"/>
    <n v="0"/>
    <n v="0"/>
    <n v="0"/>
    <n v="0"/>
    <n v="0"/>
    <m/>
    <n v="56.4"/>
  </r>
  <r>
    <x v="365"/>
    <d v="2025-05-03T00:00:00"/>
    <x v="0"/>
    <s v="South"/>
    <s v="Mobile"/>
    <s v="Organic"/>
    <x v="1"/>
    <n v="1"/>
    <n v="0"/>
    <n v="0"/>
    <n v="0"/>
    <n v="0"/>
    <n v="0"/>
    <n v="0"/>
    <m/>
    <n v="79.2"/>
  </r>
  <r>
    <x v="366"/>
    <d v="2025-02-12T00:00:00"/>
    <x v="0"/>
    <s v="East"/>
    <s v="Mobile"/>
    <s v="Paid Search"/>
    <x v="1"/>
    <n v="1"/>
    <n v="1"/>
    <n v="1"/>
    <n v="0"/>
    <n v="0"/>
    <n v="0"/>
    <n v="0"/>
    <m/>
    <n v="60.1"/>
  </r>
  <r>
    <x v="367"/>
    <d v="2025-02-25T00:00:00"/>
    <x v="0"/>
    <s v="South"/>
    <s v="Tablet"/>
    <s v="Organic"/>
    <x v="1"/>
    <n v="0"/>
    <n v="0"/>
    <n v="0"/>
    <n v="0"/>
    <n v="0"/>
    <n v="0"/>
    <n v="0"/>
    <m/>
    <n v="58"/>
  </r>
  <r>
    <x v="368"/>
    <d v="2025-04-14T00:00:00"/>
    <x v="0"/>
    <s v="South"/>
    <s v="Mobile"/>
    <s v="Referral"/>
    <x v="1"/>
    <n v="1"/>
    <n v="1"/>
    <n v="1"/>
    <n v="0"/>
    <n v="0"/>
    <n v="0"/>
    <n v="0"/>
    <m/>
    <n v="69"/>
  </r>
  <r>
    <x v="369"/>
    <d v="2025-01-08T00:00:00"/>
    <x v="0"/>
    <s v="North"/>
    <s v="Mobile"/>
    <s v="Referral"/>
    <x v="2"/>
    <n v="1"/>
    <n v="1"/>
    <n v="1"/>
    <n v="0"/>
    <n v="0"/>
    <n v="1"/>
    <n v="0"/>
    <m/>
    <n v="80.8"/>
  </r>
  <r>
    <x v="370"/>
    <d v="2025-03-14T00:00:00"/>
    <x v="0"/>
    <s v="East"/>
    <s v="Mobile"/>
    <s v="Email"/>
    <x v="1"/>
    <n v="0"/>
    <n v="0"/>
    <n v="0"/>
    <n v="0"/>
    <n v="0"/>
    <n v="0"/>
    <n v="0"/>
    <m/>
    <n v="32.799999999999997"/>
  </r>
  <r>
    <x v="371"/>
    <d v="2025-04-29T00:00:00"/>
    <x v="0"/>
    <s v="North"/>
    <s v="Desktop"/>
    <s v="Paid Search"/>
    <x v="2"/>
    <n v="1"/>
    <n v="0"/>
    <n v="0"/>
    <n v="0"/>
    <n v="0"/>
    <n v="0"/>
    <n v="0"/>
    <m/>
    <n v="56"/>
  </r>
  <r>
    <x v="372"/>
    <d v="2025-05-01T00:00:00"/>
    <x v="0"/>
    <s v="East"/>
    <s v="Desktop"/>
    <s v="Social"/>
    <x v="1"/>
    <n v="1"/>
    <n v="0"/>
    <n v="0"/>
    <n v="0"/>
    <n v="0"/>
    <n v="0"/>
    <n v="0"/>
    <m/>
    <n v="76.400000000000006"/>
  </r>
  <r>
    <x v="373"/>
    <d v="2025-03-19T00:00:00"/>
    <x v="0"/>
    <s v="North"/>
    <s v="Mobile"/>
    <s v="Referral"/>
    <x v="1"/>
    <n v="1"/>
    <n v="0"/>
    <n v="0"/>
    <n v="0"/>
    <n v="0"/>
    <n v="0"/>
    <n v="0"/>
    <m/>
    <n v="28.5"/>
  </r>
  <r>
    <x v="374"/>
    <d v="2025-05-01T00:00:00"/>
    <x v="0"/>
    <s v="South"/>
    <s v="Desktop"/>
    <s v="Social"/>
    <x v="0"/>
    <n v="1"/>
    <n v="1"/>
    <n v="1"/>
    <n v="0"/>
    <n v="0"/>
    <n v="0"/>
    <n v="0"/>
    <m/>
    <n v="48.3"/>
  </r>
  <r>
    <x v="375"/>
    <d v="2025-03-14T00:00:00"/>
    <x v="0"/>
    <s v="West"/>
    <s v="Mobile"/>
    <s v="Organic"/>
    <x v="1"/>
    <n v="1"/>
    <n v="1"/>
    <n v="0"/>
    <n v="0"/>
    <n v="0"/>
    <n v="0"/>
    <n v="0"/>
    <m/>
    <n v="43.4"/>
  </r>
  <r>
    <x v="376"/>
    <d v="2025-03-23T00:00:00"/>
    <x v="0"/>
    <s v="North"/>
    <s v="Mobile"/>
    <s v="Paid Search"/>
    <x v="1"/>
    <n v="0"/>
    <n v="0"/>
    <n v="0"/>
    <n v="0"/>
    <n v="0"/>
    <n v="0"/>
    <n v="0"/>
    <m/>
    <n v="43"/>
  </r>
  <r>
    <x v="377"/>
    <d v="2025-02-08T00:00:00"/>
    <x v="0"/>
    <s v="East"/>
    <s v="Mobile"/>
    <s v="Referral"/>
    <x v="0"/>
    <n v="1"/>
    <n v="1"/>
    <n v="1"/>
    <n v="0"/>
    <n v="0"/>
    <n v="0"/>
    <n v="0"/>
    <m/>
    <n v="91.8"/>
  </r>
  <r>
    <x v="378"/>
    <d v="2025-04-15T00:00:00"/>
    <x v="0"/>
    <s v="West"/>
    <s v="Tablet"/>
    <s v="Paid Search"/>
    <x v="0"/>
    <n v="1"/>
    <n v="0"/>
    <n v="0"/>
    <n v="0"/>
    <n v="0"/>
    <n v="1"/>
    <n v="0"/>
    <m/>
    <n v="69.3"/>
  </r>
  <r>
    <x v="379"/>
    <d v="2025-01-03T00:00:00"/>
    <x v="0"/>
    <s v="South"/>
    <s v="Desktop"/>
    <s v="Paid Search"/>
    <x v="0"/>
    <n v="1"/>
    <n v="0"/>
    <n v="0"/>
    <n v="0"/>
    <n v="0"/>
    <n v="0"/>
    <n v="0"/>
    <m/>
    <n v="58.9"/>
  </r>
  <r>
    <x v="380"/>
    <d v="2025-03-23T00:00:00"/>
    <x v="0"/>
    <s v="West"/>
    <s v="Mobile"/>
    <s v="Social"/>
    <x v="1"/>
    <n v="1"/>
    <n v="1"/>
    <n v="1"/>
    <n v="0"/>
    <n v="0"/>
    <n v="0"/>
    <n v="0"/>
    <m/>
    <n v="76"/>
  </r>
  <r>
    <x v="381"/>
    <d v="2025-05-27T00:00:00"/>
    <x v="0"/>
    <s v="South"/>
    <s v="Mobile"/>
    <s v="Referral"/>
    <x v="2"/>
    <n v="1"/>
    <n v="0"/>
    <n v="0"/>
    <n v="0"/>
    <n v="0"/>
    <n v="0"/>
    <n v="0"/>
    <m/>
    <n v="46"/>
  </r>
  <r>
    <x v="382"/>
    <d v="2025-04-30T00:00:00"/>
    <x v="0"/>
    <s v="East"/>
    <s v="Mobile"/>
    <s v="Organic"/>
    <x v="1"/>
    <n v="1"/>
    <n v="0"/>
    <n v="0"/>
    <n v="0"/>
    <n v="0"/>
    <n v="0"/>
    <n v="0"/>
    <m/>
    <n v="54.1"/>
  </r>
  <r>
    <x v="383"/>
    <d v="2025-03-07T00:00:00"/>
    <x v="0"/>
    <s v="West"/>
    <s v="Mobile"/>
    <s v="Social"/>
    <x v="0"/>
    <n v="1"/>
    <n v="0"/>
    <n v="0"/>
    <n v="0"/>
    <n v="0"/>
    <n v="0"/>
    <n v="0"/>
    <m/>
    <n v="82.4"/>
  </r>
  <r>
    <x v="384"/>
    <d v="2025-05-10T00:00:00"/>
    <x v="0"/>
    <s v="South"/>
    <s v="Mobile"/>
    <s v="Organic"/>
    <x v="0"/>
    <n v="1"/>
    <n v="1"/>
    <n v="1"/>
    <n v="0"/>
    <n v="0"/>
    <n v="0"/>
    <n v="0"/>
    <m/>
    <n v="71.900000000000006"/>
  </r>
  <r>
    <x v="385"/>
    <d v="2025-05-22T00:00:00"/>
    <x v="0"/>
    <s v="East"/>
    <s v="Mobile"/>
    <s v="Organic"/>
    <x v="1"/>
    <n v="0"/>
    <n v="0"/>
    <n v="0"/>
    <n v="0"/>
    <n v="0"/>
    <n v="2"/>
    <n v="0"/>
    <m/>
    <n v="38"/>
  </r>
  <r>
    <x v="386"/>
    <d v="2025-02-09T00:00:00"/>
    <x v="0"/>
    <s v="East"/>
    <s v="Mobile"/>
    <s v="Paid Search"/>
    <x v="1"/>
    <n v="1"/>
    <n v="1"/>
    <n v="0"/>
    <n v="0"/>
    <n v="0"/>
    <n v="0"/>
    <n v="0"/>
    <m/>
    <n v="43.7"/>
  </r>
  <r>
    <x v="387"/>
    <d v="2025-05-30T00:00:00"/>
    <x v="0"/>
    <s v="West"/>
    <s v="Desktop"/>
    <s v="Organic"/>
    <x v="2"/>
    <n v="1"/>
    <n v="0"/>
    <n v="0"/>
    <n v="0"/>
    <n v="0"/>
    <n v="1"/>
    <n v="0"/>
    <m/>
    <n v="32.200000000000003"/>
  </r>
  <r>
    <x v="388"/>
    <d v="2025-05-01T00:00:00"/>
    <x v="0"/>
    <s v="South"/>
    <s v="Mobile"/>
    <s v="Organic"/>
    <x v="2"/>
    <n v="1"/>
    <n v="0"/>
    <n v="0"/>
    <n v="0"/>
    <n v="0"/>
    <n v="0"/>
    <n v="0"/>
    <m/>
    <n v="61"/>
  </r>
  <r>
    <x v="389"/>
    <d v="2025-01-03T00:00:00"/>
    <x v="0"/>
    <s v="South"/>
    <s v="Mobile"/>
    <s v="Paid Search"/>
    <x v="1"/>
    <n v="1"/>
    <n v="0"/>
    <n v="0"/>
    <n v="0"/>
    <n v="0"/>
    <n v="0"/>
    <n v="0"/>
    <m/>
    <n v="49"/>
  </r>
  <r>
    <x v="390"/>
    <d v="2025-02-13T00:00:00"/>
    <x v="0"/>
    <s v="East"/>
    <s v="Mobile"/>
    <s v="Organic"/>
    <x v="1"/>
    <n v="0"/>
    <n v="0"/>
    <n v="0"/>
    <n v="0"/>
    <n v="0"/>
    <n v="0"/>
    <n v="0"/>
    <m/>
    <n v="48.1"/>
  </r>
  <r>
    <x v="391"/>
    <d v="2025-01-14T00:00:00"/>
    <x v="0"/>
    <s v="South"/>
    <s v="Desktop"/>
    <s v="Organic"/>
    <x v="1"/>
    <n v="0"/>
    <n v="0"/>
    <n v="0"/>
    <n v="0"/>
    <n v="0"/>
    <n v="2"/>
    <n v="0"/>
    <m/>
    <n v="46.3"/>
  </r>
  <r>
    <x v="392"/>
    <d v="2025-02-24T00:00:00"/>
    <x v="0"/>
    <s v="North"/>
    <s v="Mobile"/>
    <s v="Referral"/>
    <x v="1"/>
    <n v="0"/>
    <n v="0"/>
    <n v="0"/>
    <n v="0"/>
    <n v="0"/>
    <n v="0"/>
    <n v="0"/>
    <m/>
    <n v="64"/>
  </r>
  <r>
    <x v="393"/>
    <d v="2025-05-16T00:00:00"/>
    <x v="0"/>
    <s v="West"/>
    <s v="Desktop"/>
    <s v="Organic"/>
    <x v="0"/>
    <n v="1"/>
    <n v="1"/>
    <n v="0"/>
    <n v="0"/>
    <n v="0"/>
    <n v="0"/>
    <n v="0"/>
    <m/>
    <n v="56.2"/>
  </r>
  <r>
    <x v="394"/>
    <d v="2025-04-29T00:00:00"/>
    <x v="0"/>
    <s v="North"/>
    <s v="Mobile"/>
    <s v="Paid Search"/>
    <x v="1"/>
    <n v="1"/>
    <n v="1"/>
    <n v="1"/>
    <n v="0"/>
    <n v="0"/>
    <n v="0"/>
    <n v="0"/>
    <m/>
    <n v="77.5"/>
  </r>
  <r>
    <x v="395"/>
    <d v="2025-04-30T00:00:00"/>
    <x v="0"/>
    <s v="South"/>
    <s v="Desktop"/>
    <s v="Email"/>
    <x v="0"/>
    <n v="1"/>
    <n v="0"/>
    <n v="0"/>
    <n v="0"/>
    <n v="0"/>
    <n v="0"/>
    <n v="0"/>
    <m/>
    <n v="59.9"/>
  </r>
  <r>
    <x v="396"/>
    <d v="2025-01-09T00:00:00"/>
    <x v="0"/>
    <s v="South"/>
    <s v="Desktop"/>
    <s v="Organic"/>
    <x v="1"/>
    <n v="1"/>
    <n v="1"/>
    <n v="0"/>
    <n v="0"/>
    <n v="0"/>
    <n v="0"/>
    <n v="0"/>
    <m/>
    <n v="63"/>
  </r>
  <r>
    <x v="397"/>
    <d v="2025-04-25T00:00:00"/>
    <x v="0"/>
    <s v="South"/>
    <s v="Mobile"/>
    <s v="Organic"/>
    <x v="1"/>
    <n v="1"/>
    <n v="1"/>
    <n v="0"/>
    <n v="0"/>
    <n v="0"/>
    <n v="0"/>
    <n v="0"/>
    <m/>
    <n v="76.5"/>
  </r>
  <r>
    <x v="398"/>
    <d v="2025-03-12T00:00:00"/>
    <x v="0"/>
    <s v="North"/>
    <s v="Desktop"/>
    <s v="Paid Search"/>
    <x v="1"/>
    <n v="1"/>
    <n v="0"/>
    <n v="0"/>
    <n v="0"/>
    <n v="0"/>
    <n v="0"/>
    <n v="0"/>
    <m/>
    <n v="39.700000000000003"/>
  </r>
  <r>
    <x v="399"/>
    <d v="2025-03-20T00:00:00"/>
    <x v="0"/>
    <s v="North"/>
    <s v="Mobile"/>
    <s v="Organic"/>
    <x v="1"/>
    <n v="1"/>
    <n v="1"/>
    <n v="0"/>
    <n v="0"/>
    <n v="0"/>
    <n v="0"/>
    <n v="0"/>
    <m/>
    <n v="80.2"/>
  </r>
  <r>
    <x v="400"/>
    <d v="2025-02-18T00:00:00"/>
    <x v="0"/>
    <s v="West"/>
    <s v="Mobile"/>
    <s v="Paid Search"/>
    <x v="1"/>
    <n v="1"/>
    <n v="0"/>
    <n v="0"/>
    <n v="0"/>
    <n v="0"/>
    <n v="0"/>
    <n v="0"/>
    <m/>
    <n v="72.2"/>
  </r>
  <r>
    <x v="401"/>
    <d v="2025-01-22T00:00:00"/>
    <x v="0"/>
    <s v="North"/>
    <s v="Mobile"/>
    <s v="Social"/>
    <x v="0"/>
    <n v="0"/>
    <n v="0"/>
    <n v="0"/>
    <n v="0"/>
    <n v="0"/>
    <n v="0"/>
    <n v="0"/>
    <m/>
    <n v="56"/>
  </r>
  <r>
    <x v="402"/>
    <d v="2025-02-08T00:00:00"/>
    <x v="0"/>
    <s v="West"/>
    <s v="Mobile"/>
    <s v="Email"/>
    <x v="0"/>
    <n v="1"/>
    <n v="1"/>
    <n v="1"/>
    <n v="0"/>
    <n v="0"/>
    <n v="0"/>
    <n v="0"/>
    <m/>
    <n v="69.099999999999994"/>
  </r>
  <r>
    <x v="403"/>
    <d v="2025-01-20T00:00:00"/>
    <x v="0"/>
    <s v="North"/>
    <s v="Mobile"/>
    <s v="Email"/>
    <x v="2"/>
    <n v="0"/>
    <n v="0"/>
    <n v="0"/>
    <n v="0"/>
    <n v="0"/>
    <n v="1"/>
    <n v="0"/>
    <m/>
    <n v="70.599999999999994"/>
  </r>
  <r>
    <x v="404"/>
    <d v="2025-04-22T00:00:00"/>
    <x v="0"/>
    <s v="West"/>
    <s v="Desktop"/>
    <s v="Referral"/>
    <x v="1"/>
    <n v="1"/>
    <n v="0"/>
    <n v="0"/>
    <n v="0"/>
    <n v="0"/>
    <n v="0"/>
    <n v="0"/>
    <m/>
    <n v="57.9"/>
  </r>
  <r>
    <x v="405"/>
    <d v="2025-01-22T00:00:00"/>
    <x v="0"/>
    <s v="East"/>
    <s v="Mobile"/>
    <s v="Organic"/>
    <x v="0"/>
    <n v="1"/>
    <n v="1"/>
    <n v="0"/>
    <n v="0"/>
    <n v="0"/>
    <n v="0"/>
    <n v="0"/>
    <m/>
    <n v="41.4"/>
  </r>
  <r>
    <x v="406"/>
    <d v="2025-05-11T00:00:00"/>
    <x v="0"/>
    <s v="West"/>
    <s v="Mobile"/>
    <s v="Organic"/>
    <x v="0"/>
    <n v="1"/>
    <n v="0"/>
    <n v="0"/>
    <n v="0"/>
    <n v="0"/>
    <n v="0"/>
    <n v="0"/>
    <m/>
    <n v="60.9"/>
  </r>
  <r>
    <x v="407"/>
    <d v="2025-02-06T00:00:00"/>
    <x v="0"/>
    <s v="South"/>
    <s v="Mobile"/>
    <s v="Organic"/>
    <x v="0"/>
    <n v="0"/>
    <n v="0"/>
    <n v="0"/>
    <n v="0"/>
    <n v="0"/>
    <n v="1"/>
    <n v="0"/>
    <m/>
    <n v="63.8"/>
  </r>
  <r>
    <x v="408"/>
    <d v="2025-02-21T00:00:00"/>
    <x v="0"/>
    <s v="North"/>
    <s v="Desktop"/>
    <s v="Organic"/>
    <x v="2"/>
    <n v="1"/>
    <n v="0"/>
    <n v="0"/>
    <n v="0"/>
    <n v="0"/>
    <n v="0"/>
    <n v="0"/>
    <m/>
    <n v="79.2"/>
  </r>
  <r>
    <x v="409"/>
    <d v="2025-01-13T00:00:00"/>
    <x v="0"/>
    <s v="West"/>
    <s v="Mobile"/>
    <s v="Email"/>
    <x v="2"/>
    <n v="1"/>
    <n v="1"/>
    <n v="1"/>
    <n v="0"/>
    <n v="0"/>
    <n v="0"/>
    <n v="0"/>
    <m/>
    <n v="53.3"/>
  </r>
  <r>
    <x v="410"/>
    <d v="2025-03-07T00:00:00"/>
    <x v="0"/>
    <s v="North"/>
    <s v="Mobile"/>
    <s v="Referral"/>
    <x v="2"/>
    <n v="1"/>
    <n v="1"/>
    <n v="1"/>
    <n v="1"/>
    <n v="2144.8200000000002"/>
    <n v="0"/>
    <n v="0"/>
    <n v="6"/>
    <n v="52.3"/>
  </r>
  <r>
    <x v="411"/>
    <d v="2025-02-26T00:00:00"/>
    <x v="0"/>
    <s v="West"/>
    <s v="Desktop"/>
    <s v="Organic"/>
    <x v="0"/>
    <n v="1"/>
    <n v="1"/>
    <n v="0"/>
    <n v="0"/>
    <n v="0"/>
    <n v="0"/>
    <n v="0"/>
    <m/>
    <n v="62.4"/>
  </r>
  <r>
    <x v="412"/>
    <d v="2025-05-05T00:00:00"/>
    <x v="0"/>
    <s v="North"/>
    <s v="Mobile"/>
    <s v="Referral"/>
    <x v="2"/>
    <n v="1"/>
    <n v="0"/>
    <n v="0"/>
    <n v="0"/>
    <n v="0"/>
    <n v="0"/>
    <n v="0"/>
    <m/>
    <n v="45.5"/>
  </r>
  <r>
    <x v="413"/>
    <d v="2025-01-08T00:00:00"/>
    <x v="0"/>
    <s v="East"/>
    <s v="Desktop"/>
    <s v="Organic"/>
    <x v="0"/>
    <n v="0"/>
    <n v="0"/>
    <n v="0"/>
    <n v="0"/>
    <n v="0"/>
    <n v="1"/>
    <n v="0"/>
    <m/>
    <n v="72.599999999999994"/>
  </r>
  <r>
    <x v="414"/>
    <d v="2025-03-19T00:00:00"/>
    <x v="0"/>
    <s v="South"/>
    <s v="Mobile"/>
    <s v="Email"/>
    <x v="2"/>
    <n v="1"/>
    <n v="1"/>
    <n v="1"/>
    <n v="0"/>
    <n v="0"/>
    <n v="0"/>
    <n v="0"/>
    <m/>
    <n v="50.1"/>
  </r>
  <r>
    <x v="415"/>
    <d v="2025-01-30T00:00:00"/>
    <x v="0"/>
    <s v="East"/>
    <s v="Desktop"/>
    <s v="Paid Search"/>
    <x v="1"/>
    <n v="1"/>
    <n v="1"/>
    <n v="1"/>
    <n v="0"/>
    <n v="0"/>
    <n v="2"/>
    <n v="0"/>
    <m/>
    <n v="58.1"/>
  </r>
  <r>
    <x v="416"/>
    <d v="2025-04-28T00:00:00"/>
    <x v="0"/>
    <s v="East"/>
    <s v="Mobile"/>
    <s v="Organic"/>
    <x v="0"/>
    <n v="1"/>
    <n v="0"/>
    <n v="0"/>
    <n v="0"/>
    <n v="0"/>
    <n v="0"/>
    <n v="0"/>
    <m/>
    <n v="42.9"/>
  </r>
  <r>
    <x v="417"/>
    <d v="2025-03-07T00:00:00"/>
    <x v="0"/>
    <s v="North"/>
    <s v="Mobile"/>
    <s v="Referral"/>
    <x v="0"/>
    <n v="0"/>
    <n v="0"/>
    <n v="0"/>
    <n v="0"/>
    <n v="0"/>
    <n v="0"/>
    <n v="0"/>
    <m/>
    <n v="69.7"/>
  </r>
  <r>
    <x v="418"/>
    <d v="2025-04-07T00:00:00"/>
    <x v="0"/>
    <s v="North"/>
    <s v="Desktop"/>
    <s v="Organic"/>
    <x v="1"/>
    <n v="0"/>
    <n v="0"/>
    <n v="0"/>
    <n v="0"/>
    <n v="0"/>
    <n v="0"/>
    <n v="0"/>
    <m/>
    <n v="63.3"/>
  </r>
  <r>
    <x v="419"/>
    <d v="2025-05-08T00:00:00"/>
    <x v="0"/>
    <s v="North"/>
    <s v="Desktop"/>
    <s v="Organic"/>
    <x v="2"/>
    <n v="1"/>
    <n v="0"/>
    <n v="0"/>
    <n v="0"/>
    <n v="0"/>
    <n v="0"/>
    <n v="0"/>
    <m/>
    <n v="71.2"/>
  </r>
  <r>
    <x v="420"/>
    <d v="2025-04-15T00:00:00"/>
    <x v="0"/>
    <s v="South"/>
    <s v="Mobile"/>
    <s v="Email"/>
    <x v="1"/>
    <n v="1"/>
    <n v="0"/>
    <n v="0"/>
    <n v="0"/>
    <n v="0"/>
    <n v="0"/>
    <n v="0"/>
    <m/>
    <n v="39.1"/>
  </r>
  <r>
    <x v="421"/>
    <d v="2025-04-20T00:00:00"/>
    <x v="0"/>
    <s v="East"/>
    <s v="Desktop"/>
    <s v="Social"/>
    <x v="1"/>
    <n v="1"/>
    <n v="0"/>
    <n v="0"/>
    <n v="0"/>
    <n v="0"/>
    <n v="0"/>
    <n v="0"/>
    <m/>
    <n v="42.6"/>
  </r>
  <r>
    <x v="422"/>
    <d v="2025-05-30T00:00:00"/>
    <x v="0"/>
    <s v="South"/>
    <s v="Tablet"/>
    <s v="Organic"/>
    <x v="1"/>
    <n v="0"/>
    <n v="0"/>
    <n v="0"/>
    <n v="0"/>
    <n v="0"/>
    <n v="0"/>
    <n v="0"/>
    <m/>
    <n v="74.400000000000006"/>
  </r>
  <r>
    <x v="423"/>
    <d v="2025-02-13T00:00:00"/>
    <x v="0"/>
    <s v="West"/>
    <s v="Mobile"/>
    <s v="Referral"/>
    <x v="1"/>
    <n v="0"/>
    <n v="0"/>
    <n v="0"/>
    <n v="0"/>
    <n v="0"/>
    <n v="0"/>
    <n v="0"/>
    <m/>
    <n v="55.6"/>
  </r>
  <r>
    <x v="424"/>
    <d v="2025-04-28T00:00:00"/>
    <x v="0"/>
    <s v="West"/>
    <s v="Mobile"/>
    <s v="Social"/>
    <x v="1"/>
    <n v="1"/>
    <n v="0"/>
    <n v="0"/>
    <n v="0"/>
    <n v="0"/>
    <n v="0"/>
    <n v="0"/>
    <m/>
    <n v="35.799999999999997"/>
  </r>
  <r>
    <x v="425"/>
    <d v="2025-02-12T00:00:00"/>
    <x v="0"/>
    <s v="North"/>
    <s v="Mobile"/>
    <s v="Paid Search"/>
    <x v="0"/>
    <n v="1"/>
    <n v="0"/>
    <n v="0"/>
    <n v="0"/>
    <n v="0"/>
    <n v="1"/>
    <n v="0"/>
    <m/>
    <n v="28.2"/>
  </r>
  <r>
    <x v="426"/>
    <d v="2025-02-12T00:00:00"/>
    <x v="0"/>
    <s v="East"/>
    <s v="Mobile"/>
    <s v="Organic"/>
    <x v="1"/>
    <n v="0"/>
    <n v="0"/>
    <n v="0"/>
    <n v="0"/>
    <n v="0"/>
    <n v="2"/>
    <n v="0"/>
    <m/>
    <n v="44.4"/>
  </r>
  <r>
    <x v="427"/>
    <d v="2025-03-27T00:00:00"/>
    <x v="0"/>
    <s v="North"/>
    <s v="Mobile"/>
    <s v="Email"/>
    <x v="2"/>
    <n v="1"/>
    <n v="0"/>
    <n v="0"/>
    <n v="0"/>
    <n v="0"/>
    <n v="0"/>
    <n v="0"/>
    <m/>
    <n v="49.9"/>
  </r>
  <r>
    <x v="428"/>
    <d v="2025-04-12T00:00:00"/>
    <x v="0"/>
    <s v="South"/>
    <s v="Desktop"/>
    <s v="Organic"/>
    <x v="1"/>
    <n v="0"/>
    <n v="0"/>
    <n v="0"/>
    <n v="0"/>
    <n v="0"/>
    <n v="0"/>
    <n v="0"/>
    <m/>
    <n v="40.4"/>
  </r>
  <r>
    <x v="429"/>
    <d v="2025-01-30T00:00:00"/>
    <x v="0"/>
    <s v="West"/>
    <s v="Mobile"/>
    <s v="Social"/>
    <x v="1"/>
    <n v="0"/>
    <n v="0"/>
    <n v="0"/>
    <n v="0"/>
    <n v="0"/>
    <n v="0"/>
    <n v="0"/>
    <m/>
    <n v="60.4"/>
  </r>
  <r>
    <x v="430"/>
    <d v="2025-05-28T00:00:00"/>
    <x v="0"/>
    <s v="West"/>
    <s v="Mobile"/>
    <s v="Social"/>
    <x v="2"/>
    <n v="0"/>
    <n v="0"/>
    <n v="0"/>
    <n v="0"/>
    <n v="0"/>
    <n v="1"/>
    <n v="0"/>
    <m/>
    <n v="52.4"/>
  </r>
  <r>
    <x v="431"/>
    <d v="2025-05-01T00:00:00"/>
    <x v="0"/>
    <s v="South"/>
    <s v="Mobile"/>
    <s v="Organic"/>
    <x v="0"/>
    <n v="1"/>
    <n v="1"/>
    <n v="0"/>
    <n v="0"/>
    <n v="0"/>
    <n v="0"/>
    <n v="0"/>
    <m/>
    <n v="48.8"/>
  </r>
  <r>
    <x v="432"/>
    <d v="2025-02-03T00:00:00"/>
    <x v="0"/>
    <s v="North"/>
    <s v="Tablet"/>
    <s v="Email"/>
    <x v="0"/>
    <n v="1"/>
    <n v="0"/>
    <n v="0"/>
    <n v="0"/>
    <n v="0"/>
    <n v="0"/>
    <n v="0"/>
    <m/>
    <n v="60.9"/>
  </r>
  <r>
    <x v="433"/>
    <d v="2025-01-10T00:00:00"/>
    <x v="0"/>
    <s v="South"/>
    <s v="Desktop"/>
    <s v="Social"/>
    <x v="0"/>
    <n v="0"/>
    <n v="0"/>
    <n v="0"/>
    <n v="0"/>
    <n v="0"/>
    <n v="0"/>
    <n v="0"/>
    <m/>
    <n v="68.2"/>
  </r>
  <r>
    <x v="434"/>
    <d v="2025-05-02T00:00:00"/>
    <x v="0"/>
    <s v="North"/>
    <s v="Desktop"/>
    <s v="Organic"/>
    <x v="0"/>
    <n v="1"/>
    <n v="0"/>
    <n v="0"/>
    <n v="0"/>
    <n v="0"/>
    <n v="0"/>
    <n v="0"/>
    <m/>
    <n v="65.599999999999994"/>
  </r>
  <r>
    <x v="435"/>
    <d v="2025-05-26T00:00:00"/>
    <x v="0"/>
    <s v="North"/>
    <s v="Desktop"/>
    <s v="Organic"/>
    <x v="0"/>
    <n v="1"/>
    <n v="0"/>
    <n v="0"/>
    <n v="0"/>
    <n v="0"/>
    <n v="0"/>
    <n v="0"/>
    <m/>
    <n v="65.400000000000006"/>
  </r>
  <r>
    <x v="436"/>
    <d v="2025-01-12T00:00:00"/>
    <x v="0"/>
    <s v="West"/>
    <s v="Mobile"/>
    <s v="Organic"/>
    <x v="0"/>
    <n v="1"/>
    <n v="0"/>
    <n v="0"/>
    <n v="0"/>
    <n v="0"/>
    <n v="0"/>
    <n v="0"/>
    <m/>
    <n v="78.900000000000006"/>
  </r>
  <r>
    <x v="437"/>
    <d v="2025-05-27T00:00:00"/>
    <x v="0"/>
    <s v="East"/>
    <s v="Mobile"/>
    <s v="Paid Search"/>
    <x v="0"/>
    <n v="1"/>
    <n v="1"/>
    <n v="1"/>
    <n v="0"/>
    <n v="0"/>
    <n v="0"/>
    <n v="0"/>
    <m/>
    <n v="78.3"/>
  </r>
  <r>
    <x v="438"/>
    <d v="2025-05-22T00:00:00"/>
    <x v="0"/>
    <s v="West"/>
    <s v="Desktop"/>
    <s v="Email"/>
    <x v="0"/>
    <n v="0"/>
    <n v="0"/>
    <n v="0"/>
    <n v="0"/>
    <n v="0"/>
    <n v="0"/>
    <n v="0"/>
    <m/>
    <n v="49.2"/>
  </r>
  <r>
    <x v="439"/>
    <d v="2025-04-01T00:00:00"/>
    <x v="0"/>
    <s v="East"/>
    <s v="Mobile"/>
    <s v="Social"/>
    <x v="2"/>
    <n v="1"/>
    <n v="1"/>
    <n v="1"/>
    <n v="1"/>
    <n v="1518.83"/>
    <n v="0"/>
    <n v="0"/>
    <n v="9"/>
    <n v="32.200000000000003"/>
  </r>
  <r>
    <x v="440"/>
    <d v="2025-01-22T00:00:00"/>
    <x v="0"/>
    <s v="North"/>
    <s v="Mobile"/>
    <s v="Paid Search"/>
    <x v="0"/>
    <n v="1"/>
    <n v="1"/>
    <n v="1"/>
    <n v="0"/>
    <n v="0"/>
    <n v="0"/>
    <n v="0"/>
    <m/>
    <n v="46.3"/>
  </r>
  <r>
    <x v="441"/>
    <d v="2025-05-24T00:00:00"/>
    <x v="0"/>
    <s v="East"/>
    <s v="Mobile"/>
    <s v="Paid Search"/>
    <x v="0"/>
    <n v="1"/>
    <n v="0"/>
    <n v="0"/>
    <n v="0"/>
    <n v="0"/>
    <n v="0"/>
    <n v="0"/>
    <m/>
    <n v="55.7"/>
  </r>
  <r>
    <x v="442"/>
    <d v="2025-04-25T00:00:00"/>
    <x v="0"/>
    <s v="South"/>
    <s v="Mobile"/>
    <s v="Social"/>
    <x v="1"/>
    <n v="1"/>
    <n v="0"/>
    <n v="0"/>
    <n v="0"/>
    <n v="0"/>
    <n v="0"/>
    <n v="0"/>
    <m/>
    <n v="44.5"/>
  </r>
  <r>
    <x v="443"/>
    <d v="2025-04-12T00:00:00"/>
    <x v="0"/>
    <s v="West"/>
    <s v="Desktop"/>
    <s v="Referral"/>
    <x v="1"/>
    <n v="1"/>
    <n v="1"/>
    <n v="1"/>
    <n v="0"/>
    <n v="0"/>
    <n v="1"/>
    <n v="0"/>
    <m/>
    <n v="47.9"/>
  </r>
  <r>
    <x v="444"/>
    <d v="2025-04-23T00:00:00"/>
    <x v="0"/>
    <s v="South"/>
    <s v="Mobile"/>
    <s v="Organic"/>
    <x v="2"/>
    <n v="1"/>
    <n v="0"/>
    <n v="0"/>
    <n v="0"/>
    <n v="0"/>
    <n v="0"/>
    <n v="0"/>
    <m/>
    <n v="43.9"/>
  </r>
  <r>
    <x v="445"/>
    <d v="2025-03-30T00:00:00"/>
    <x v="0"/>
    <s v="North"/>
    <s v="Desktop"/>
    <s v="Referral"/>
    <x v="1"/>
    <n v="1"/>
    <n v="1"/>
    <n v="1"/>
    <n v="0"/>
    <n v="0"/>
    <n v="1"/>
    <n v="0"/>
    <m/>
    <n v="67.7"/>
  </r>
  <r>
    <x v="446"/>
    <d v="2025-01-18T00:00:00"/>
    <x v="0"/>
    <s v="East"/>
    <s v="Mobile"/>
    <s v="Referral"/>
    <x v="0"/>
    <n v="0"/>
    <n v="0"/>
    <n v="0"/>
    <n v="0"/>
    <n v="0"/>
    <n v="0"/>
    <n v="0"/>
    <m/>
    <n v="43.7"/>
  </r>
  <r>
    <x v="447"/>
    <d v="2025-04-09T00:00:00"/>
    <x v="0"/>
    <s v="East"/>
    <s v="Mobile"/>
    <s v="Organic"/>
    <x v="1"/>
    <n v="1"/>
    <n v="0"/>
    <n v="0"/>
    <n v="0"/>
    <n v="0"/>
    <n v="0"/>
    <n v="0"/>
    <m/>
    <n v="68.8"/>
  </r>
  <r>
    <x v="448"/>
    <d v="2025-01-11T00:00:00"/>
    <x v="0"/>
    <s v="West"/>
    <s v="Mobile"/>
    <s v="Organic"/>
    <x v="1"/>
    <n v="1"/>
    <n v="1"/>
    <n v="1"/>
    <n v="0"/>
    <n v="0"/>
    <n v="0"/>
    <n v="0"/>
    <m/>
    <n v="59.2"/>
  </r>
  <r>
    <x v="449"/>
    <d v="2025-03-05T00:00:00"/>
    <x v="0"/>
    <s v="East"/>
    <s v="Mobile"/>
    <s v="Paid Search"/>
    <x v="1"/>
    <n v="1"/>
    <n v="0"/>
    <n v="0"/>
    <n v="0"/>
    <n v="0"/>
    <n v="0"/>
    <n v="0"/>
    <m/>
    <n v="48.6"/>
  </r>
  <r>
    <x v="450"/>
    <d v="2025-02-17T00:00:00"/>
    <x v="0"/>
    <s v="North"/>
    <s v="Tablet"/>
    <s v="Social"/>
    <x v="1"/>
    <n v="1"/>
    <n v="1"/>
    <n v="1"/>
    <n v="0"/>
    <n v="0"/>
    <n v="0"/>
    <n v="0"/>
    <m/>
    <n v="56.9"/>
  </r>
  <r>
    <x v="451"/>
    <d v="2025-05-07T00:00:00"/>
    <x v="0"/>
    <s v="North"/>
    <s v="Desktop"/>
    <s v="Paid Search"/>
    <x v="1"/>
    <n v="0"/>
    <n v="0"/>
    <n v="0"/>
    <n v="0"/>
    <n v="0"/>
    <n v="0"/>
    <n v="0"/>
    <m/>
    <n v="55.8"/>
  </r>
  <r>
    <x v="452"/>
    <d v="2025-04-10T00:00:00"/>
    <x v="0"/>
    <s v="East"/>
    <s v="Mobile"/>
    <s v="Paid Search"/>
    <x v="2"/>
    <n v="0"/>
    <n v="0"/>
    <n v="0"/>
    <n v="0"/>
    <n v="0"/>
    <n v="0"/>
    <n v="0"/>
    <m/>
    <n v="63.3"/>
  </r>
  <r>
    <x v="453"/>
    <d v="2025-04-21T00:00:00"/>
    <x v="0"/>
    <s v="North"/>
    <s v="Mobile"/>
    <s v="Social"/>
    <x v="1"/>
    <n v="1"/>
    <n v="0"/>
    <n v="0"/>
    <n v="0"/>
    <n v="0"/>
    <n v="0"/>
    <n v="0"/>
    <m/>
    <n v="52.2"/>
  </r>
  <r>
    <x v="454"/>
    <d v="2025-02-25T00:00:00"/>
    <x v="0"/>
    <s v="South"/>
    <s v="Tablet"/>
    <m/>
    <x v="1"/>
    <n v="0"/>
    <n v="0"/>
    <n v="0"/>
    <n v="0"/>
    <n v="0"/>
    <n v="0"/>
    <n v="0"/>
    <m/>
    <n v="51.5"/>
  </r>
  <r>
    <x v="455"/>
    <d v="2025-05-14T00:00:00"/>
    <x v="0"/>
    <s v="East"/>
    <s v="Desktop"/>
    <s v="Organic"/>
    <x v="1"/>
    <n v="0"/>
    <n v="0"/>
    <n v="0"/>
    <n v="0"/>
    <n v="0"/>
    <n v="0"/>
    <n v="0"/>
    <m/>
    <n v="50.3"/>
  </r>
  <r>
    <x v="456"/>
    <d v="2025-03-10T00:00:00"/>
    <x v="0"/>
    <s v="North"/>
    <s v="Mobile"/>
    <s v="Email"/>
    <x v="0"/>
    <n v="1"/>
    <n v="0"/>
    <n v="0"/>
    <n v="0"/>
    <n v="0"/>
    <n v="1"/>
    <n v="0"/>
    <m/>
    <n v="35.4"/>
  </r>
  <r>
    <x v="457"/>
    <d v="2025-01-31T00:00:00"/>
    <x v="0"/>
    <s v="West"/>
    <s v="Desktop"/>
    <s v="Organic"/>
    <x v="2"/>
    <n v="1"/>
    <n v="0"/>
    <n v="0"/>
    <n v="0"/>
    <n v="0"/>
    <n v="1"/>
    <n v="0"/>
    <m/>
    <n v="54.1"/>
  </r>
  <r>
    <x v="458"/>
    <d v="2025-01-17T00:00:00"/>
    <x v="0"/>
    <s v="South"/>
    <s v="Mobile"/>
    <s v="Organic"/>
    <x v="2"/>
    <n v="1"/>
    <n v="0"/>
    <n v="0"/>
    <n v="0"/>
    <n v="0"/>
    <n v="0"/>
    <n v="0"/>
    <m/>
    <n v="56.2"/>
  </r>
  <r>
    <x v="459"/>
    <d v="2025-03-12T00:00:00"/>
    <x v="0"/>
    <s v="South"/>
    <s v="Mobile"/>
    <s v="Paid Search"/>
    <x v="1"/>
    <n v="0"/>
    <n v="0"/>
    <n v="0"/>
    <n v="0"/>
    <n v="0"/>
    <n v="3"/>
    <n v="0"/>
    <m/>
    <n v="43.7"/>
  </r>
  <r>
    <x v="460"/>
    <d v="2025-02-28T00:00:00"/>
    <x v="0"/>
    <s v="West"/>
    <s v="Desktop"/>
    <s v="Organic"/>
    <x v="2"/>
    <n v="1"/>
    <n v="1"/>
    <n v="0"/>
    <n v="0"/>
    <n v="0"/>
    <n v="0"/>
    <n v="0"/>
    <m/>
    <n v="51.3"/>
  </r>
  <r>
    <x v="461"/>
    <d v="2025-05-19T00:00:00"/>
    <x v="0"/>
    <s v="North"/>
    <m/>
    <s v="Organic"/>
    <x v="0"/>
    <n v="1"/>
    <n v="0"/>
    <n v="0"/>
    <n v="0"/>
    <n v="0"/>
    <n v="0"/>
    <n v="0"/>
    <m/>
    <n v="50.5"/>
  </r>
  <r>
    <x v="462"/>
    <d v="2025-02-23T00:00:00"/>
    <x v="0"/>
    <s v="North"/>
    <s v="Mobile"/>
    <s v="Referral"/>
    <x v="0"/>
    <n v="1"/>
    <n v="0"/>
    <n v="0"/>
    <n v="0"/>
    <n v="0"/>
    <n v="0"/>
    <n v="0"/>
    <m/>
    <n v="57.3"/>
  </r>
  <r>
    <x v="463"/>
    <d v="2025-02-20T00:00:00"/>
    <x v="0"/>
    <s v="West"/>
    <s v="Desktop"/>
    <s v="Organic"/>
    <x v="1"/>
    <n v="1"/>
    <n v="1"/>
    <n v="1"/>
    <n v="0"/>
    <n v="0"/>
    <n v="0"/>
    <n v="0"/>
    <m/>
    <n v="58.4"/>
  </r>
  <r>
    <x v="464"/>
    <d v="2025-04-12T00:00:00"/>
    <x v="0"/>
    <s v="North"/>
    <s v="Mobile"/>
    <m/>
    <x v="1"/>
    <n v="0"/>
    <n v="0"/>
    <n v="0"/>
    <n v="0"/>
    <n v="0"/>
    <n v="0"/>
    <n v="0"/>
    <m/>
    <n v="56.5"/>
  </r>
  <r>
    <x v="465"/>
    <d v="2025-01-08T00:00:00"/>
    <x v="0"/>
    <s v="West"/>
    <s v="Mobile"/>
    <s v="Email"/>
    <x v="1"/>
    <n v="0"/>
    <n v="0"/>
    <n v="0"/>
    <n v="0"/>
    <n v="0"/>
    <n v="0"/>
    <n v="0"/>
    <m/>
    <n v="69.599999999999994"/>
  </r>
  <r>
    <x v="466"/>
    <d v="2025-02-13T00:00:00"/>
    <x v="0"/>
    <s v="West"/>
    <s v="Mobile"/>
    <s v="Organic"/>
    <x v="0"/>
    <n v="0"/>
    <n v="0"/>
    <n v="0"/>
    <n v="0"/>
    <n v="0"/>
    <n v="0"/>
    <n v="0"/>
    <m/>
    <n v="6.2"/>
  </r>
  <r>
    <x v="467"/>
    <d v="2025-05-21T00:00:00"/>
    <x v="0"/>
    <s v="East"/>
    <s v="Desktop"/>
    <s v="Email"/>
    <x v="1"/>
    <n v="1"/>
    <n v="1"/>
    <n v="1"/>
    <n v="0"/>
    <n v="0"/>
    <n v="0"/>
    <n v="0"/>
    <m/>
    <n v="54.3"/>
  </r>
  <r>
    <x v="468"/>
    <d v="2025-05-30T00:00:00"/>
    <x v="0"/>
    <s v="North"/>
    <s v="Mobile"/>
    <s v="Organic"/>
    <x v="0"/>
    <n v="0"/>
    <n v="0"/>
    <n v="0"/>
    <n v="0"/>
    <n v="0"/>
    <n v="0"/>
    <n v="0"/>
    <m/>
    <n v="59.8"/>
  </r>
  <r>
    <x v="469"/>
    <d v="2025-05-20T00:00:00"/>
    <x v="0"/>
    <s v="West"/>
    <s v="Mobile"/>
    <s v="Paid Search"/>
    <x v="1"/>
    <n v="0"/>
    <n v="0"/>
    <n v="0"/>
    <n v="0"/>
    <n v="0"/>
    <n v="0"/>
    <n v="0"/>
    <m/>
    <n v="58.9"/>
  </r>
  <r>
    <x v="470"/>
    <d v="2025-01-09T00:00:00"/>
    <x v="0"/>
    <s v="East"/>
    <s v="Desktop"/>
    <s v="Organic"/>
    <x v="1"/>
    <n v="0"/>
    <n v="0"/>
    <n v="0"/>
    <n v="0"/>
    <n v="0"/>
    <n v="1"/>
    <n v="0"/>
    <m/>
    <n v="52.9"/>
  </r>
  <r>
    <x v="471"/>
    <d v="2025-03-07T00:00:00"/>
    <x v="0"/>
    <s v="West"/>
    <s v="Mobile"/>
    <s v="Organic"/>
    <x v="1"/>
    <n v="0"/>
    <n v="0"/>
    <n v="0"/>
    <n v="0"/>
    <n v="0"/>
    <n v="0"/>
    <n v="0"/>
    <m/>
    <n v="67.8"/>
  </r>
  <r>
    <x v="472"/>
    <d v="2025-04-23T00:00:00"/>
    <x v="0"/>
    <s v="South"/>
    <s v="Mobile"/>
    <s v="Social"/>
    <x v="1"/>
    <n v="0"/>
    <n v="0"/>
    <n v="0"/>
    <n v="0"/>
    <n v="0"/>
    <n v="0"/>
    <n v="0"/>
    <m/>
    <n v="48.7"/>
  </r>
  <r>
    <x v="473"/>
    <d v="2025-03-08T00:00:00"/>
    <x v="0"/>
    <s v="East"/>
    <s v="Mobile"/>
    <s v="Organic"/>
    <x v="0"/>
    <n v="0"/>
    <n v="0"/>
    <n v="0"/>
    <n v="0"/>
    <n v="0"/>
    <n v="0"/>
    <n v="0"/>
    <m/>
    <n v="59"/>
  </r>
  <r>
    <x v="474"/>
    <d v="2025-02-14T00:00:00"/>
    <x v="0"/>
    <s v="South"/>
    <s v="Mobile"/>
    <s v="Referral"/>
    <x v="1"/>
    <n v="0"/>
    <n v="0"/>
    <n v="0"/>
    <n v="0"/>
    <n v="0"/>
    <n v="0"/>
    <n v="0"/>
    <m/>
    <n v="63.2"/>
  </r>
  <r>
    <x v="475"/>
    <d v="2025-05-17T00:00:00"/>
    <x v="0"/>
    <s v="West"/>
    <s v="Mobile"/>
    <s v="Referral"/>
    <x v="0"/>
    <n v="1"/>
    <n v="0"/>
    <n v="0"/>
    <n v="0"/>
    <n v="0"/>
    <n v="0"/>
    <n v="0"/>
    <m/>
    <n v="68.7"/>
  </r>
  <r>
    <x v="476"/>
    <d v="2025-04-25T00:00:00"/>
    <x v="0"/>
    <s v="South"/>
    <s v="Mobile"/>
    <s v="Referral"/>
    <x v="1"/>
    <n v="0"/>
    <n v="0"/>
    <n v="0"/>
    <n v="0"/>
    <n v="0"/>
    <n v="0"/>
    <n v="0"/>
    <m/>
    <n v="52.1"/>
  </r>
  <r>
    <x v="477"/>
    <d v="2025-03-04T00:00:00"/>
    <x v="0"/>
    <s v="South"/>
    <s v="Desktop"/>
    <s v="Social"/>
    <x v="0"/>
    <n v="0"/>
    <n v="0"/>
    <n v="0"/>
    <n v="0"/>
    <n v="0"/>
    <n v="0"/>
    <n v="0"/>
    <m/>
    <n v="56.5"/>
  </r>
  <r>
    <x v="478"/>
    <d v="2025-03-18T00:00:00"/>
    <x v="0"/>
    <s v="South"/>
    <s v="Mobile"/>
    <s v="Organic"/>
    <x v="1"/>
    <n v="1"/>
    <n v="0"/>
    <n v="0"/>
    <n v="0"/>
    <n v="0"/>
    <n v="0"/>
    <n v="0"/>
    <m/>
    <n v="64.400000000000006"/>
  </r>
  <r>
    <x v="479"/>
    <d v="2025-01-30T00:00:00"/>
    <x v="0"/>
    <s v="West"/>
    <s v="Mobile"/>
    <s v="Paid Search"/>
    <x v="2"/>
    <n v="1"/>
    <n v="0"/>
    <n v="0"/>
    <n v="0"/>
    <n v="0"/>
    <n v="0"/>
    <n v="0"/>
    <m/>
    <n v="65.900000000000006"/>
  </r>
  <r>
    <x v="480"/>
    <d v="2025-05-20T00:00:00"/>
    <x v="0"/>
    <s v="West"/>
    <s v="Tablet"/>
    <s v="Referral"/>
    <x v="1"/>
    <n v="1"/>
    <n v="1"/>
    <n v="1"/>
    <n v="0"/>
    <n v="0"/>
    <n v="0"/>
    <n v="0"/>
    <m/>
    <n v="100"/>
  </r>
  <r>
    <x v="481"/>
    <d v="2025-02-13T00:00:00"/>
    <x v="0"/>
    <s v="North"/>
    <m/>
    <s v="Organic"/>
    <x v="0"/>
    <n v="1"/>
    <n v="1"/>
    <n v="1"/>
    <n v="0"/>
    <n v="0"/>
    <n v="0"/>
    <n v="0"/>
    <m/>
    <n v="50.4"/>
  </r>
  <r>
    <x v="482"/>
    <d v="2025-04-12T00:00:00"/>
    <x v="0"/>
    <s v="West"/>
    <s v="Desktop"/>
    <s v="Organic"/>
    <x v="0"/>
    <n v="0"/>
    <n v="0"/>
    <n v="0"/>
    <n v="0"/>
    <n v="0"/>
    <n v="0"/>
    <n v="0"/>
    <m/>
    <n v="41.5"/>
  </r>
  <r>
    <x v="483"/>
    <d v="2025-04-07T00:00:00"/>
    <x v="0"/>
    <s v="North"/>
    <s v="Mobile"/>
    <s v="Email"/>
    <x v="1"/>
    <n v="0"/>
    <n v="0"/>
    <n v="0"/>
    <n v="0"/>
    <n v="0"/>
    <n v="0"/>
    <n v="0"/>
    <m/>
    <n v="86.2"/>
  </r>
  <r>
    <x v="484"/>
    <d v="2025-03-12T00:00:00"/>
    <x v="0"/>
    <s v="North"/>
    <s v="Desktop"/>
    <s v="Social"/>
    <x v="1"/>
    <n v="1"/>
    <n v="1"/>
    <n v="1"/>
    <n v="0"/>
    <n v="0"/>
    <n v="2"/>
    <n v="0"/>
    <m/>
    <n v="50.8"/>
  </r>
  <r>
    <x v="485"/>
    <d v="2025-02-07T00:00:00"/>
    <x v="0"/>
    <s v="West"/>
    <s v="Mobile"/>
    <s v="Organic"/>
    <x v="1"/>
    <n v="1"/>
    <n v="0"/>
    <n v="0"/>
    <n v="0"/>
    <n v="0"/>
    <n v="0"/>
    <n v="0"/>
    <m/>
    <n v="50.9"/>
  </r>
  <r>
    <x v="486"/>
    <d v="2025-05-05T00:00:00"/>
    <x v="0"/>
    <s v="North"/>
    <s v="Mobile"/>
    <s v="Organic"/>
    <x v="2"/>
    <n v="1"/>
    <n v="1"/>
    <n v="0"/>
    <n v="0"/>
    <n v="0"/>
    <n v="0"/>
    <n v="0"/>
    <m/>
    <n v="87.5"/>
  </r>
  <r>
    <x v="487"/>
    <d v="2025-03-18T00:00:00"/>
    <x v="0"/>
    <s v="South"/>
    <s v="Mobile"/>
    <s v="Referral"/>
    <x v="1"/>
    <n v="0"/>
    <n v="0"/>
    <n v="0"/>
    <n v="0"/>
    <n v="0"/>
    <n v="0"/>
    <n v="0"/>
    <m/>
    <n v="43.6"/>
  </r>
  <r>
    <x v="488"/>
    <d v="2025-01-05T00:00:00"/>
    <x v="0"/>
    <s v="South"/>
    <s v="Mobile"/>
    <s v="Paid Search"/>
    <x v="0"/>
    <n v="1"/>
    <n v="0"/>
    <n v="0"/>
    <n v="0"/>
    <n v="0"/>
    <n v="0"/>
    <n v="0"/>
    <m/>
    <n v="55.5"/>
  </r>
  <r>
    <x v="489"/>
    <d v="2025-05-10T00:00:00"/>
    <x v="0"/>
    <s v="South"/>
    <s v="Desktop"/>
    <s v="Referral"/>
    <x v="0"/>
    <n v="0"/>
    <n v="0"/>
    <n v="0"/>
    <n v="0"/>
    <n v="0"/>
    <n v="0"/>
    <n v="0"/>
    <m/>
    <n v="78.599999999999994"/>
  </r>
  <r>
    <x v="490"/>
    <d v="2025-01-03T00:00:00"/>
    <x v="0"/>
    <s v="South"/>
    <s v="Mobile"/>
    <s v="Social"/>
    <x v="0"/>
    <n v="1"/>
    <n v="1"/>
    <n v="0"/>
    <n v="0"/>
    <n v="0"/>
    <n v="1"/>
    <n v="0"/>
    <m/>
    <n v="44.3"/>
  </r>
  <r>
    <x v="491"/>
    <d v="2025-05-08T00:00:00"/>
    <x v="0"/>
    <s v="South"/>
    <s v="Mobile"/>
    <s v="Paid Search"/>
    <x v="1"/>
    <n v="1"/>
    <n v="1"/>
    <n v="0"/>
    <n v="0"/>
    <n v="0"/>
    <n v="0"/>
    <n v="0"/>
    <m/>
    <n v="45.2"/>
  </r>
  <r>
    <x v="492"/>
    <d v="2025-03-05T00:00:00"/>
    <x v="0"/>
    <s v="South"/>
    <s v="Desktop"/>
    <s v="Email"/>
    <x v="0"/>
    <n v="1"/>
    <n v="0"/>
    <n v="0"/>
    <n v="0"/>
    <n v="0"/>
    <n v="2"/>
    <n v="0"/>
    <m/>
    <n v="46.1"/>
  </r>
  <r>
    <x v="493"/>
    <d v="2025-02-17T00:00:00"/>
    <x v="0"/>
    <s v="North"/>
    <s v="Mobile"/>
    <s v="Organic"/>
    <x v="2"/>
    <n v="1"/>
    <n v="0"/>
    <n v="0"/>
    <n v="0"/>
    <n v="0"/>
    <n v="0"/>
    <n v="0"/>
    <m/>
    <n v="49.6"/>
  </r>
  <r>
    <x v="494"/>
    <d v="2025-01-09T00:00:00"/>
    <x v="0"/>
    <s v="South"/>
    <s v="Mobile"/>
    <s v="Referral"/>
    <x v="0"/>
    <n v="0"/>
    <n v="0"/>
    <n v="0"/>
    <n v="0"/>
    <n v="0"/>
    <n v="0"/>
    <n v="0"/>
    <m/>
    <n v="70.5"/>
  </r>
  <r>
    <x v="495"/>
    <d v="2025-05-05T00:00:00"/>
    <x v="0"/>
    <s v="South"/>
    <s v="Mobile"/>
    <s v="Email"/>
    <x v="0"/>
    <n v="0"/>
    <n v="0"/>
    <n v="0"/>
    <n v="0"/>
    <n v="0"/>
    <n v="1"/>
    <n v="0"/>
    <m/>
    <n v="60.8"/>
  </r>
  <r>
    <x v="496"/>
    <d v="2025-04-16T00:00:00"/>
    <x v="0"/>
    <s v="East"/>
    <s v="Mobile"/>
    <s v="Email"/>
    <x v="0"/>
    <n v="0"/>
    <n v="0"/>
    <n v="0"/>
    <n v="0"/>
    <n v="0"/>
    <n v="1"/>
    <n v="0"/>
    <m/>
    <n v="50.5"/>
  </r>
  <r>
    <x v="497"/>
    <d v="2025-03-02T00:00:00"/>
    <x v="0"/>
    <s v="South"/>
    <s v="Desktop"/>
    <s v="Organic"/>
    <x v="1"/>
    <n v="1"/>
    <n v="0"/>
    <n v="0"/>
    <n v="0"/>
    <n v="0"/>
    <n v="0"/>
    <n v="0"/>
    <m/>
    <n v="54.9"/>
  </r>
  <r>
    <x v="498"/>
    <d v="2025-04-14T00:00:00"/>
    <x v="0"/>
    <s v="South"/>
    <s v="Mobile"/>
    <s v="Social"/>
    <x v="2"/>
    <n v="0"/>
    <n v="0"/>
    <n v="0"/>
    <n v="0"/>
    <n v="0"/>
    <n v="0"/>
    <n v="0"/>
    <m/>
    <n v="29.9"/>
  </r>
  <r>
    <x v="499"/>
    <d v="2025-02-15T00:00:00"/>
    <x v="0"/>
    <s v="East"/>
    <s v="Desktop"/>
    <s v="Paid Search"/>
    <x v="0"/>
    <n v="0"/>
    <n v="0"/>
    <n v="0"/>
    <n v="0"/>
    <n v="0"/>
    <n v="0"/>
    <n v="0"/>
    <m/>
    <n v="48.3"/>
  </r>
  <r>
    <x v="500"/>
    <d v="2025-02-13T00:00:00"/>
    <x v="0"/>
    <s v="West"/>
    <s v="Mobile"/>
    <s v="Social"/>
    <x v="1"/>
    <n v="1"/>
    <n v="1"/>
    <n v="1"/>
    <n v="1"/>
    <n v="513.61"/>
    <n v="0"/>
    <n v="0"/>
    <n v="7"/>
    <n v="41.3"/>
  </r>
  <r>
    <x v="501"/>
    <d v="2025-03-06T00:00:00"/>
    <x v="0"/>
    <s v="North"/>
    <s v="Mobile"/>
    <s v="Email"/>
    <x v="1"/>
    <n v="0"/>
    <n v="0"/>
    <n v="0"/>
    <n v="0"/>
    <n v="0"/>
    <n v="0"/>
    <n v="0"/>
    <m/>
    <n v="61.4"/>
  </r>
  <r>
    <x v="502"/>
    <d v="2025-02-18T00:00:00"/>
    <x v="0"/>
    <s v="South"/>
    <s v="Desktop"/>
    <s v="Social"/>
    <x v="1"/>
    <n v="0"/>
    <n v="0"/>
    <n v="0"/>
    <n v="0"/>
    <n v="0"/>
    <n v="0"/>
    <n v="0"/>
    <m/>
    <n v="57.8"/>
  </r>
  <r>
    <x v="503"/>
    <d v="2025-04-07T00:00:00"/>
    <x v="0"/>
    <s v="North"/>
    <s v="Desktop"/>
    <s v="Organic"/>
    <x v="1"/>
    <n v="0"/>
    <n v="0"/>
    <n v="0"/>
    <n v="0"/>
    <n v="0"/>
    <n v="0"/>
    <n v="0"/>
    <m/>
    <n v="78.2"/>
  </r>
  <r>
    <x v="504"/>
    <d v="2025-04-06T00:00:00"/>
    <x v="0"/>
    <s v="North"/>
    <s v="Mobile"/>
    <s v="Referral"/>
    <x v="1"/>
    <n v="0"/>
    <n v="0"/>
    <n v="0"/>
    <n v="0"/>
    <n v="0"/>
    <n v="0"/>
    <n v="0"/>
    <m/>
    <n v="63.8"/>
  </r>
  <r>
    <x v="505"/>
    <d v="2025-01-30T00:00:00"/>
    <x v="0"/>
    <s v="North"/>
    <s v="Desktop"/>
    <s v="Social"/>
    <x v="1"/>
    <n v="1"/>
    <n v="0"/>
    <n v="0"/>
    <n v="0"/>
    <n v="0"/>
    <n v="0"/>
    <n v="0"/>
    <m/>
    <n v="56.8"/>
  </r>
  <r>
    <x v="506"/>
    <d v="2025-05-13T00:00:00"/>
    <x v="0"/>
    <s v="South"/>
    <s v="Desktop"/>
    <s v="Organic"/>
    <x v="0"/>
    <n v="1"/>
    <n v="1"/>
    <n v="0"/>
    <n v="0"/>
    <n v="0"/>
    <n v="0"/>
    <n v="0"/>
    <m/>
    <n v="59.6"/>
  </r>
  <r>
    <x v="507"/>
    <d v="2025-01-20T00:00:00"/>
    <x v="0"/>
    <s v="West"/>
    <s v="Mobile"/>
    <s v="Paid Search"/>
    <x v="2"/>
    <n v="1"/>
    <n v="1"/>
    <n v="0"/>
    <n v="0"/>
    <n v="0"/>
    <n v="0"/>
    <n v="0"/>
    <m/>
    <n v="50"/>
  </r>
  <r>
    <x v="508"/>
    <d v="2025-01-30T00:00:00"/>
    <x v="0"/>
    <s v="North"/>
    <s v="Tablet"/>
    <s v="Organic"/>
    <x v="1"/>
    <n v="1"/>
    <n v="0"/>
    <n v="0"/>
    <n v="0"/>
    <n v="0"/>
    <n v="0"/>
    <n v="0"/>
    <m/>
    <n v="35.700000000000003"/>
  </r>
  <r>
    <x v="509"/>
    <d v="2025-01-13T00:00:00"/>
    <x v="0"/>
    <s v="South"/>
    <s v="Mobile"/>
    <s v="Organic"/>
    <x v="1"/>
    <n v="0"/>
    <n v="0"/>
    <n v="0"/>
    <n v="0"/>
    <n v="0"/>
    <n v="2"/>
    <n v="0"/>
    <m/>
    <n v="47.2"/>
  </r>
  <r>
    <x v="510"/>
    <d v="2025-02-11T00:00:00"/>
    <x v="0"/>
    <s v="North"/>
    <s v="Mobile"/>
    <s v="Social"/>
    <x v="1"/>
    <n v="1"/>
    <n v="1"/>
    <n v="0"/>
    <n v="0"/>
    <n v="0"/>
    <n v="0"/>
    <n v="0"/>
    <m/>
    <n v="56.9"/>
  </r>
  <r>
    <x v="511"/>
    <d v="2025-04-15T00:00:00"/>
    <x v="0"/>
    <s v="South"/>
    <s v="Mobile"/>
    <s v="Organic"/>
    <x v="1"/>
    <n v="0"/>
    <n v="0"/>
    <n v="0"/>
    <n v="0"/>
    <n v="0"/>
    <n v="1"/>
    <n v="0"/>
    <m/>
    <n v="57.2"/>
  </r>
  <r>
    <x v="512"/>
    <d v="2025-02-13T00:00:00"/>
    <x v="0"/>
    <s v="South"/>
    <s v="Mobile"/>
    <m/>
    <x v="1"/>
    <n v="1"/>
    <n v="1"/>
    <n v="0"/>
    <n v="0"/>
    <n v="0"/>
    <n v="0"/>
    <n v="0"/>
    <m/>
    <n v="31.4"/>
  </r>
  <r>
    <x v="513"/>
    <d v="2025-05-09T00:00:00"/>
    <x v="0"/>
    <s v="South"/>
    <s v="Desktop"/>
    <s v="Organic"/>
    <x v="1"/>
    <n v="0"/>
    <n v="0"/>
    <n v="0"/>
    <n v="0"/>
    <n v="0"/>
    <n v="0"/>
    <n v="0"/>
    <m/>
    <n v="71.2"/>
  </r>
  <r>
    <x v="514"/>
    <d v="2025-03-10T00:00:00"/>
    <x v="0"/>
    <s v="North"/>
    <s v="Mobile"/>
    <s v="Paid Search"/>
    <x v="1"/>
    <n v="1"/>
    <n v="1"/>
    <n v="1"/>
    <n v="0"/>
    <n v="0"/>
    <n v="1"/>
    <n v="0"/>
    <m/>
    <n v="38.299999999999997"/>
  </r>
  <r>
    <x v="515"/>
    <d v="2025-04-01T00:00:00"/>
    <x v="0"/>
    <s v="North"/>
    <s v="Mobile"/>
    <s v="Organic"/>
    <x v="1"/>
    <n v="1"/>
    <n v="1"/>
    <n v="0"/>
    <n v="0"/>
    <n v="0"/>
    <n v="0"/>
    <n v="0"/>
    <m/>
    <n v="63.1"/>
  </r>
  <r>
    <x v="516"/>
    <d v="2025-05-15T00:00:00"/>
    <x v="0"/>
    <s v="East"/>
    <s v="Mobile"/>
    <s v="Referral"/>
    <x v="0"/>
    <n v="1"/>
    <n v="0"/>
    <n v="0"/>
    <n v="0"/>
    <n v="0"/>
    <n v="0"/>
    <n v="0"/>
    <m/>
    <n v="59.7"/>
  </r>
  <r>
    <x v="517"/>
    <d v="2025-05-04T00:00:00"/>
    <x v="0"/>
    <s v="South"/>
    <s v="Desktop"/>
    <s v="Social"/>
    <x v="2"/>
    <n v="1"/>
    <n v="1"/>
    <n v="1"/>
    <n v="0"/>
    <n v="0"/>
    <n v="0"/>
    <n v="0"/>
    <m/>
    <n v="59.5"/>
  </r>
  <r>
    <x v="518"/>
    <d v="2025-05-20T00:00:00"/>
    <x v="0"/>
    <s v="East"/>
    <s v="Mobile"/>
    <s v="Paid Search"/>
    <x v="1"/>
    <n v="0"/>
    <n v="0"/>
    <n v="0"/>
    <n v="0"/>
    <n v="0"/>
    <n v="0"/>
    <n v="0"/>
    <m/>
    <n v="78.8"/>
  </r>
  <r>
    <x v="519"/>
    <d v="2025-05-16T00:00:00"/>
    <x v="0"/>
    <s v="West"/>
    <s v="Desktop"/>
    <s v="Referral"/>
    <x v="1"/>
    <n v="0"/>
    <n v="0"/>
    <n v="0"/>
    <n v="0"/>
    <n v="0"/>
    <n v="0"/>
    <n v="0"/>
    <m/>
    <n v="54"/>
  </r>
  <r>
    <x v="520"/>
    <d v="2025-03-17T00:00:00"/>
    <x v="0"/>
    <s v="West"/>
    <s v="Mobile"/>
    <s v="Organic"/>
    <x v="1"/>
    <n v="1"/>
    <n v="0"/>
    <n v="0"/>
    <n v="0"/>
    <n v="0"/>
    <n v="0"/>
    <n v="0"/>
    <m/>
    <n v="66.3"/>
  </r>
  <r>
    <x v="521"/>
    <d v="2025-01-27T00:00:00"/>
    <x v="0"/>
    <s v="East"/>
    <s v="Tablet"/>
    <s v="Paid Search"/>
    <x v="1"/>
    <n v="1"/>
    <n v="1"/>
    <n v="0"/>
    <n v="0"/>
    <n v="0"/>
    <n v="0"/>
    <n v="0"/>
    <m/>
    <n v="54.7"/>
  </r>
  <r>
    <x v="522"/>
    <d v="2025-04-13T00:00:00"/>
    <x v="0"/>
    <s v="South"/>
    <s v="Mobile"/>
    <s v="Organic"/>
    <x v="0"/>
    <n v="1"/>
    <n v="0"/>
    <n v="0"/>
    <n v="0"/>
    <n v="0"/>
    <n v="0"/>
    <n v="0"/>
    <m/>
    <n v="76.7"/>
  </r>
  <r>
    <x v="523"/>
    <d v="2025-05-03T00:00:00"/>
    <x v="0"/>
    <s v="South"/>
    <s v="Desktop"/>
    <s v="Email"/>
    <x v="0"/>
    <n v="1"/>
    <n v="0"/>
    <n v="0"/>
    <n v="0"/>
    <n v="0"/>
    <n v="2"/>
    <n v="0"/>
    <m/>
    <n v="47.4"/>
  </r>
  <r>
    <x v="524"/>
    <d v="2025-03-30T00:00:00"/>
    <x v="0"/>
    <s v="North"/>
    <s v="Mobile"/>
    <s v="Organic"/>
    <x v="1"/>
    <n v="1"/>
    <n v="1"/>
    <n v="1"/>
    <n v="0"/>
    <n v="0"/>
    <n v="0"/>
    <n v="0"/>
    <m/>
    <n v="81.7"/>
  </r>
  <r>
    <x v="525"/>
    <d v="2025-01-01T00:00:00"/>
    <x v="0"/>
    <s v="West"/>
    <s v="Mobile"/>
    <s v="Paid Search"/>
    <x v="0"/>
    <n v="1"/>
    <n v="1"/>
    <n v="1"/>
    <n v="0"/>
    <n v="0"/>
    <n v="0"/>
    <n v="0"/>
    <m/>
    <n v="67.5"/>
  </r>
  <r>
    <x v="526"/>
    <d v="2025-02-06T00:00:00"/>
    <x v="0"/>
    <s v="West"/>
    <s v="Mobile"/>
    <s v="Paid Search"/>
    <x v="0"/>
    <n v="1"/>
    <n v="0"/>
    <n v="0"/>
    <n v="0"/>
    <n v="0"/>
    <n v="0"/>
    <n v="0"/>
    <m/>
    <n v="36.799999999999997"/>
  </r>
  <r>
    <x v="527"/>
    <d v="2025-02-25T00:00:00"/>
    <x v="0"/>
    <s v="North"/>
    <s v="Desktop"/>
    <s v="Organic"/>
    <x v="1"/>
    <n v="0"/>
    <n v="0"/>
    <n v="0"/>
    <n v="0"/>
    <n v="0"/>
    <n v="0"/>
    <n v="0"/>
    <m/>
    <n v="66.5"/>
  </r>
  <r>
    <x v="528"/>
    <d v="2025-05-14T00:00:00"/>
    <x v="0"/>
    <s v="East"/>
    <s v="Tablet"/>
    <s v="Social"/>
    <x v="1"/>
    <n v="1"/>
    <n v="0"/>
    <n v="0"/>
    <n v="0"/>
    <n v="0"/>
    <n v="0"/>
    <n v="0"/>
    <m/>
    <n v="35.4"/>
  </r>
  <r>
    <x v="529"/>
    <d v="2025-05-20T00:00:00"/>
    <x v="0"/>
    <s v="South"/>
    <s v="Mobile"/>
    <s v="Organic"/>
    <x v="0"/>
    <n v="0"/>
    <n v="0"/>
    <n v="0"/>
    <n v="0"/>
    <n v="0"/>
    <n v="0"/>
    <n v="0"/>
    <m/>
    <n v="64.3"/>
  </r>
  <r>
    <x v="530"/>
    <d v="2025-02-11T00:00:00"/>
    <x v="0"/>
    <s v="South"/>
    <s v="Mobile"/>
    <s v="Organic"/>
    <x v="1"/>
    <n v="0"/>
    <n v="0"/>
    <n v="0"/>
    <n v="0"/>
    <n v="0"/>
    <n v="0"/>
    <n v="0"/>
    <m/>
    <n v="49.1"/>
  </r>
  <r>
    <x v="531"/>
    <d v="2025-02-13T00:00:00"/>
    <x v="0"/>
    <s v="West"/>
    <s v="Mobile"/>
    <s v="Organic"/>
    <x v="1"/>
    <n v="1"/>
    <n v="0"/>
    <n v="0"/>
    <n v="0"/>
    <n v="0"/>
    <n v="0"/>
    <n v="0"/>
    <m/>
    <n v="84.3"/>
  </r>
  <r>
    <x v="532"/>
    <d v="2025-04-07T00:00:00"/>
    <x v="0"/>
    <s v="South"/>
    <s v="Mobile"/>
    <s v="Paid Search"/>
    <x v="2"/>
    <n v="1"/>
    <n v="0"/>
    <n v="0"/>
    <n v="0"/>
    <n v="0"/>
    <n v="0"/>
    <n v="0"/>
    <m/>
    <n v="65.599999999999994"/>
  </r>
  <r>
    <x v="533"/>
    <d v="2025-03-08T00:00:00"/>
    <x v="0"/>
    <s v="East"/>
    <s v="Mobile"/>
    <s v="Email"/>
    <x v="1"/>
    <n v="1"/>
    <n v="0"/>
    <n v="0"/>
    <n v="0"/>
    <n v="0"/>
    <n v="0"/>
    <n v="0"/>
    <m/>
    <n v="47.1"/>
  </r>
  <r>
    <x v="534"/>
    <d v="2025-02-16T00:00:00"/>
    <x v="0"/>
    <s v="North"/>
    <s v="Desktop"/>
    <s v="Paid Search"/>
    <x v="1"/>
    <n v="1"/>
    <n v="1"/>
    <n v="1"/>
    <n v="0"/>
    <n v="0"/>
    <n v="0"/>
    <n v="0"/>
    <m/>
    <n v="70"/>
  </r>
  <r>
    <x v="535"/>
    <d v="2025-04-28T00:00:00"/>
    <x v="0"/>
    <s v="South"/>
    <s v="Mobile"/>
    <s v="Paid Search"/>
    <x v="2"/>
    <n v="1"/>
    <n v="0"/>
    <n v="0"/>
    <n v="0"/>
    <n v="0"/>
    <n v="0"/>
    <n v="0"/>
    <m/>
    <n v="54.6"/>
  </r>
  <r>
    <x v="536"/>
    <d v="2025-03-10T00:00:00"/>
    <x v="0"/>
    <s v="West"/>
    <s v="Tablet"/>
    <s v="Social"/>
    <x v="0"/>
    <n v="1"/>
    <n v="1"/>
    <n v="0"/>
    <n v="0"/>
    <n v="0"/>
    <n v="1"/>
    <n v="0"/>
    <m/>
    <n v="65.2"/>
  </r>
  <r>
    <x v="537"/>
    <d v="2025-01-25T00:00:00"/>
    <x v="0"/>
    <s v="East"/>
    <s v="Mobile"/>
    <s v="Social"/>
    <x v="1"/>
    <n v="1"/>
    <n v="0"/>
    <n v="0"/>
    <n v="0"/>
    <n v="0"/>
    <n v="0"/>
    <n v="0"/>
    <m/>
    <n v="65"/>
  </r>
  <r>
    <x v="538"/>
    <d v="2025-01-11T00:00:00"/>
    <x v="0"/>
    <s v="West"/>
    <s v="Mobile"/>
    <s v="Paid Search"/>
    <x v="2"/>
    <n v="1"/>
    <n v="1"/>
    <n v="1"/>
    <n v="0"/>
    <n v="0"/>
    <n v="1"/>
    <n v="0"/>
    <m/>
    <n v="42.1"/>
  </r>
  <r>
    <x v="539"/>
    <d v="2025-03-31T00:00:00"/>
    <x v="0"/>
    <s v="West"/>
    <s v="Tablet"/>
    <s v="Paid Search"/>
    <x v="1"/>
    <n v="1"/>
    <n v="0"/>
    <n v="0"/>
    <n v="0"/>
    <n v="0"/>
    <n v="0"/>
    <n v="0"/>
    <m/>
    <n v="43.4"/>
  </r>
  <r>
    <x v="540"/>
    <d v="2025-05-22T00:00:00"/>
    <x v="0"/>
    <s v="North"/>
    <s v="Mobile"/>
    <s v="Paid Search"/>
    <x v="0"/>
    <n v="1"/>
    <n v="1"/>
    <n v="0"/>
    <n v="0"/>
    <n v="0"/>
    <n v="0"/>
    <n v="0"/>
    <m/>
    <n v="39.9"/>
  </r>
  <r>
    <x v="541"/>
    <d v="2025-05-16T00:00:00"/>
    <x v="0"/>
    <s v="North"/>
    <s v="Mobile"/>
    <s v="Referral"/>
    <x v="0"/>
    <n v="0"/>
    <n v="0"/>
    <n v="0"/>
    <n v="0"/>
    <n v="0"/>
    <n v="0"/>
    <n v="0"/>
    <m/>
    <n v="74.099999999999994"/>
  </r>
  <r>
    <x v="542"/>
    <d v="2025-04-25T00:00:00"/>
    <x v="0"/>
    <s v="East"/>
    <s v="Desktop"/>
    <s v="Paid Search"/>
    <x v="1"/>
    <n v="1"/>
    <n v="0"/>
    <n v="0"/>
    <n v="0"/>
    <n v="0"/>
    <n v="0"/>
    <n v="0"/>
    <m/>
    <n v="61.4"/>
  </r>
  <r>
    <x v="543"/>
    <d v="2025-04-17T00:00:00"/>
    <x v="0"/>
    <s v="East"/>
    <s v="Mobile"/>
    <s v="Social"/>
    <x v="2"/>
    <n v="1"/>
    <n v="1"/>
    <n v="1"/>
    <n v="0"/>
    <n v="0"/>
    <n v="0"/>
    <n v="0"/>
    <m/>
    <n v="76.8"/>
  </r>
  <r>
    <x v="544"/>
    <d v="2025-01-01T00:00:00"/>
    <x v="0"/>
    <s v="South"/>
    <s v="Desktop"/>
    <s v="Social"/>
    <x v="0"/>
    <n v="0"/>
    <n v="0"/>
    <n v="0"/>
    <n v="0"/>
    <n v="0"/>
    <n v="0"/>
    <n v="0"/>
    <m/>
    <m/>
  </r>
  <r>
    <x v="545"/>
    <d v="2025-03-18T00:00:00"/>
    <x v="0"/>
    <s v="East"/>
    <s v="Mobile"/>
    <s v="Paid Search"/>
    <x v="0"/>
    <n v="1"/>
    <n v="1"/>
    <n v="1"/>
    <n v="0"/>
    <n v="0"/>
    <n v="0"/>
    <n v="0"/>
    <m/>
    <n v="45.3"/>
  </r>
  <r>
    <x v="546"/>
    <d v="2025-05-20T00:00:00"/>
    <x v="0"/>
    <s v="North"/>
    <s v="Tablet"/>
    <s v="Paid Search"/>
    <x v="1"/>
    <n v="1"/>
    <n v="0"/>
    <n v="0"/>
    <n v="0"/>
    <n v="0"/>
    <n v="0"/>
    <n v="0"/>
    <m/>
    <n v="41.4"/>
  </r>
  <r>
    <x v="547"/>
    <d v="2025-03-16T00:00:00"/>
    <x v="0"/>
    <s v="North"/>
    <s v="Mobile"/>
    <s v="Organic"/>
    <x v="0"/>
    <n v="1"/>
    <n v="0"/>
    <n v="0"/>
    <n v="0"/>
    <n v="0"/>
    <n v="0"/>
    <n v="0"/>
    <m/>
    <n v="37.1"/>
  </r>
  <r>
    <x v="548"/>
    <d v="2025-05-30T00:00:00"/>
    <x v="0"/>
    <s v="East"/>
    <s v="Desktop"/>
    <s v="Social"/>
    <x v="1"/>
    <n v="1"/>
    <n v="0"/>
    <n v="0"/>
    <n v="0"/>
    <n v="0"/>
    <n v="0"/>
    <n v="0"/>
    <m/>
    <n v="40.700000000000003"/>
  </r>
  <r>
    <x v="549"/>
    <d v="2025-02-20T00:00:00"/>
    <x v="0"/>
    <s v="North"/>
    <s v="Mobile"/>
    <s v="Social"/>
    <x v="2"/>
    <n v="0"/>
    <n v="0"/>
    <n v="0"/>
    <n v="0"/>
    <n v="0"/>
    <n v="2"/>
    <n v="0"/>
    <m/>
    <n v="55.9"/>
  </r>
  <r>
    <x v="550"/>
    <d v="2025-02-11T00:00:00"/>
    <x v="0"/>
    <s v="East"/>
    <m/>
    <s v="Social"/>
    <x v="1"/>
    <n v="1"/>
    <n v="1"/>
    <n v="0"/>
    <n v="0"/>
    <n v="0"/>
    <n v="0"/>
    <n v="0"/>
    <m/>
    <n v="55.8"/>
  </r>
  <r>
    <x v="551"/>
    <d v="2025-01-02T00:00:00"/>
    <x v="0"/>
    <s v="South"/>
    <s v="Tablet"/>
    <s v="Referral"/>
    <x v="0"/>
    <n v="1"/>
    <n v="0"/>
    <n v="0"/>
    <n v="0"/>
    <n v="0"/>
    <n v="0"/>
    <n v="0"/>
    <m/>
    <n v="64.3"/>
  </r>
  <r>
    <x v="552"/>
    <d v="2025-05-03T00:00:00"/>
    <x v="0"/>
    <s v="North"/>
    <s v="Mobile"/>
    <s v="Organic"/>
    <x v="1"/>
    <n v="0"/>
    <n v="0"/>
    <n v="0"/>
    <n v="0"/>
    <n v="0"/>
    <n v="0"/>
    <n v="0"/>
    <m/>
    <n v="65.400000000000006"/>
  </r>
  <r>
    <x v="553"/>
    <d v="2025-02-24T00:00:00"/>
    <x v="0"/>
    <s v="West"/>
    <s v="Mobile"/>
    <s v="Organic"/>
    <x v="1"/>
    <n v="1"/>
    <n v="0"/>
    <n v="0"/>
    <n v="0"/>
    <n v="0"/>
    <n v="0"/>
    <n v="0"/>
    <m/>
    <n v="89.8"/>
  </r>
  <r>
    <x v="554"/>
    <d v="2025-02-11T00:00:00"/>
    <x v="0"/>
    <s v="South"/>
    <m/>
    <s v="Organic"/>
    <x v="1"/>
    <n v="1"/>
    <n v="1"/>
    <n v="1"/>
    <n v="0"/>
    <n v="0"/>
    <n v="0"/>
    <n v="0"/>
    <m/>
    <n v="58.3"/>
  </r>
  <r>
    <x v="555"/>
    <d v="2025-05-06T00:00:00"/>
    <x v="0"/>
    <s v="South"/>
    <s v="Mobile"/>
    <s v="Social"/>
    <x v="0"/>
    <n v="1"/>
    <n v="0"/>
    <n v="0"/>
    <n v="0"/>
    <n v="0"/>
    <n v="0"/>
    <n v="0"/>
    <m/>
    <n v="64.400000000000006"/>
  </r>
  <r>
    <x v="556"/>
    <d v="2025-05-23T00:00:00"/>
    <x v="0"/>
    <s v="North"/>
    <s v="Mobile"/>
    <s v="Paid Search"/>
    <x v="2"/>
    <n v="0"/>
    <n v="0"/>
    <n v="0"/>
    <n v="0"/>
    <n v="0"/>
    <n v="0"/>
    <n v="0"/>
    <m/>
    <n v="46.2"/>
  </r>
  <r>
    <x v="557"/>
    <d v="2025-01-09T00:00:00"/>
    <x v="0"/>
    <s v="North"/>
    <s v="Desktop"/>
    <s v="Paid Search"/>
    <x v="1"/>
    <n v="0"/>
    <n v="0"/>
    <n v="0"/>
    <n v="0"/>
    <n v="0"/>
    <n v="0"/>
    <n v="0"/>
    <m/>
    <n v="78"/>
  </r>
  <r>
    <x v="558"/>
    <d v="2025-04-01T00:00:00"/>
    <x v="0"/>
    <s v="North"/>
    <s v="Desktop"/>
    <s v="Organic"/>
    <x v="2"/>
    <n v="1"/>
    <n v="0"/>
    <n v="0"/>
    <n v="0"/>
    <n v="0"/>
    <n v="0"/>
    <n v="0"/>
    <m/>
    <n v="62.3"/>
  </r>
  <r>
    <x v="559"/>
    <d v="2025-03-08T00:00:00"/>
    <x v="0"/>
    <s v="North"/>
    <s v="Mobile"/>
    <s v="Organic"/>
    <x v="1"/>
    <n v="1"/>
    <n v="0"/>
    <n v="0"/>
    <n v="0"/>
    <n v="0"/>
    <n v="0"/>
    <n v="0"/>
    <m/>
    <n v="78.8"/>
  </r>
  <r>
    <x v="560"/>
    <d v="2025-02-20T00:00:00"/>
    <x v="0"/>
    <s v="North"/>
    <s v="Mobile"/>
    <s v="Social"/>
    <x v="0"/>
    <n v="1"/>
    <n v="0"/>
    <n v="0"/>
    <n v="0"/>
    <n v="0"/>
    <n v="0"/>
    <n v="0"/>
    <m/>
    <n v="25"/>
  </r>
  <r>
    <x v="561"/>
    <d v="2025-03-30T00:00:00"/>
    <x v="0"/>
    <s v="East"/>
    <s v="Mobile"/>
    <s v="Social"/>
    <x v="0"/>
    <n v="0"/>
    <n v="0"/>
    <n v="0"/>
    <n v="0"/>
    <n v="0"/>
    <n v="0"/>
    <n v="0"/>
    <m/>
    <n v="53.4"/>
  </r>
  <r>
    <x v="562"/>
    <d v="2025-04-10T00:00:00"/>
    <x v="0"/>
    <s v="East"/>
    <s v="Desktop"/>
    <s v="Organic"/>
    <x v="0"/>
    <n v="0"/>
    <n v="0"/>
    <n v="0"/>
    <n v="0"/>
    <n v="0"/>
    <n v="0"/>
    <n v="0"/>
    <m/>
    <n v="40.700000000000003"/>
  </r>
  <r>
    <x v="563"/>
    <d v="2025-03-24T00:00:00"/>
    <x v="0"/>
    <s v="East"/>
    <s v="Mobile"/>
    <s v="Organic"/>
    <x v="2"/>
    <n v="1"/>
    <n v="1"/>
    <n v="0"/>
    <n v="0"/>
    <n v="0"/>
    <n v="0"/>
    <n v="0"/>
    <m/>
    <n v="36.700000000000003"/>
  </r>
  <r>
    <x v="564"/>
    <d v="2025-05-21T00:00:00"/>
    <x v="0"/>
    <s v="West"/>
    <s v="Mobile"/>
    <s v="Organic"/>
    <x v="0"/>
    <n v="1"/>
    <n v="0"/>
    <n v="0"/>
    <n v="0"/>
    <n v="0"/>
    <n v="1"/>
    <n v="0"/>
    <m/>
    <n v="67.5"/>
  </r>
  <r>
    <x v="565"/>
    <d v="2025-03-29T00:00:00"/>
    <x v="0"/>
    <s v="East"/>
    <s v="Mobile"/>
    <s v="Social"/>
    <x v="2"/>
    <n v="1"/>
    <n v="1"/>
    <n v="1"/>
    <n v="0"/>
    <n v="0"/>
    <n v="0"/>
    <n v="0"/>
    <m/>
    <n v="69.900000000000006"/>
  </r>
  <r>
    <x v="566"/>
    <d v="2025-02-23T00:00:00"/>
    <x v="0"/>
    <s v="North"/>
    <s v="Tablet"/>
    <s v="Referral"/>
    <x v="0"/>
    <n v="1"/>
    <n v="0"/>
    <n v="0"/>
    <n v="0"/>
    <n v="0"/>
    <n v="0"/>
    <n v="0"/>
    <m/>
    <n v="65.099999999999994"/>
  </r>
  <r>
    <x v="567"/>
    <d v="2025-02-16T00:00:00"/>
    <x v="0"/>
    <s v="West"/>
    <s v="Mobile"/>
    <s v="Paid Search"/>
    <x v="2"/>
    <n v="1"/>
    <n v="0"/>
    <n v="0"/>
    <n v="0"/>
    <n v="0"/>
    <n v="0"/>
    <n v="0"/>
    <m/>
    <n v="48.7"/>
  </r>
  <r>
    <x v="568"/>
    <d v="2025-02-21T00:00:00"/>
    <x v="0"/>
    <s v="West"/>
    <s v="Desktop"/>
    <s v="Organic"/>
    <x v="0"/>
    <n v="1"/>
    <n v="1"/>
    <n v="0"/>
    <n v="0"/>
    <n v="0"/>
    <n v="0"/>
    <n v="0"/>
    <m/>
    <n v="47.2"/>
  </r>
  <r>
    <x v="569"/>
    <d v="2025-01-07T00:00:00"/>
    <x v="0"/>
    <s v="North"/>
    <s v="Mobile"/>
    <s v="Referral"/>
    <x v="1"/>
    <n v="1"/>
    <n v="0"/>
    <n v="0"/>
    <n v="0"/>
    <n v="0"/>
    <n v="2"/>
    <n v="0"/>
    <m/>
    <n v="20.3"/>
  </r>
  <r>
    <x v="570"/>
    <d v="2025-03-06T00:00:00"/>
    <x v="0"/>
    <s v="West"/>
    <s v="Mobile"/>
    <s v="Paid Search"/>
    <x v="1"/>
    <n v="0"/>
    <n v="0"/>
    <n v="0"/>
    <n v="0"/>
    <n v="0"/>
    <n v="1"/>
    <n v="0"/>
    <m/>
    <n v="57.8"/>
  </r>
  <r>
    <x v="571"/>
    <d v="2025-03-30T00:00:00"/>
    <x v="0"/>
    <s v="East"/>
    <s v="Mobile"/>
    <s v="Email"/>
    <x v="0"/>
    <n v="1"/>
    <n v="0"/>
    <n v="0"/>
    <n v="0"/>
    <n v="0"/>
    <n v="0"/>
    <n v="0"/>
    <m/>
    <n v="78.7"/>
  </r>
  <r>
    <x v="572"/>
    <d v="2025-05-31T00:00:00"/>
    <x v="0"/>
    <s v="South"/>
    <s v="Desktop"/>
    <s v="Organic"/>
    <x v="1"/>
    <n v="1"/>
    <n v="0"/>
    <n v="0"/>
    <n v="0"/>
    <n v="0"/>
    <n v="0"/>
    <n v="0"/>
    <m/>
    <n v="63.6"/>
  </r>
  <r>
    <x v="573"/>
    <d v="2025-02-20T00:00:00"/>
    <x v="0"/>
    <s v="South"/>
    <s v="Mobile"/>
    <s v="Email"/>
    <x v="1"/>
    <n v="0"/>
    <n v="0"/>
    <n v="0"/>
    <n v="0"/>
    <n v="0"/>
    <n v="2"/>
    <n v="0"/>
    <m/>
    <n v="45.1"/>
  </r>
  <r>
    <x v="574"/>
    <d v="2025-01-13T00:00:00"/>
    <x v="0"/>
    <s v="West"/>
    <s v="Mobile"/>
    <s v="Social"/>
    <x v="1"/>
    <n v="0"/>
    <n v="0"/>
    <n v="0"/>
    <n v="0"/>
    <n v="0"/>
    <n v="0"/>
    <n v="0"/>
    <m/>
    <n v="77.5"/>
  </r>
  <r>
    <x v="575"/>
    <d v="2025-05-13T00:00:00"/>
    <x v="0"/>
    <s v="East"/>
    <s v="Desktop"/>
    <s v="Paid Search"/>
    <x v="0"/>
    <n v="1"/>
    <n v="1"/>
    <n v="0"/>
    <n v="0"/>
    <n v="0"/>
    <n v="0"/>
    <n v="0"/>
    <m/>
    <n v="58"/>
  </r>
  <r>
    <x v="576"/>
    <d v="2025-04-21T00:00:00"/>
    <x v="0"/>
    <s v="South"/>
    <s v="Tablet"/>
    <s v="Organic"/>
    <x v="1"/>
    <n v="1"/>
    <n v="0"/>
    <n v="0"/>
    <n v="0"/>
    <n v="0"/>
    <n v="0"/>
    <n v="0"/>
    <m/>
    <n v="68.099999999999994"/>
  </r>
  <r>
    <x v="577"/>
    <d v="2025-03-01T00:00:00"/>
    <x v="0"/>
    <s v="East"/>
    <s v="Tablet"/>
    <s v="Organic"/>
    <x v="2"/>
    <n v="1"/>
    <n v="0"/>
    <n v="0"/>
    <n v="0"/>
    <n v="0"/>
    <n v="0"/>
    <n v="0"/>
    <m/>
    <n v="35.4"/>
  </r>
  <r>
    <x v="578"/>
    <d v="2025-03-10T00:00:00"/>
    <x v="0"/>
    <s v="West"/>
    <s v="Tablet"/>
    <s v="Organic"/>
    <x v="1"/>
    <n v="0"/>
    <n v="0"/>
    <n v="0"/>
    <n v="0"/>
    <n v="0"/>
    <n v="0"/>
    <n v="0"/>
    <m/>
    <n v="47"/>
  </r>
  <r>
    <x v="579"/>
    <d v="2025-03-08T00:00:00"/>
    <x v="0"/>
    <s v="East"/>
    <s v="Desktop"/>
    <s v="Paid Search"/>
    <x v="1"/>
    <n v="0"/>
    <n v="0"/>
    <n v="0"/>
    <n v="0"/>
    <n v="0"/>
    <n v="0"/>
    <n v="0"/>
    <m/>
    <n v="75"/>
  </r>
  <r>
    <x v="580"/>
    <d v="2025-05-26T00:00:00"/>
    <x v="0"/>
    <s v="South"/>
    <s v="Desktop"/>
    <s v="Paid Search"/>
    <x v="1"/>
    <n v="1"/>
    <n v="1"/>
    <n v="1"/>
    <n v="0"/>
    <n v="0"/>
    <n v="3"/>
    <n v="0"/>
    <m/>
    <n v="50.2"/>
  </r>
  <r>
    <x v="581"/>
    <d v="2025-05-20T00:00:00"/>
    <x v="0"/>
    <s v="East"/>
    <s v="Desktop"/>
    <s v="Paid Search"/>
    <x v="1"/>
    <n v="1"/>
    <n v="0"/>
    <n v="0"/>
    <n v="0"/>
    <n v="0"/>
    <n v="0"/>
    <n v="0"/>
    <m/>
    <n v="40.1"/>
  </r>
  <r>
    <x v="582"/>
    <d v="2025-03-22T00:00:00"/>
    <x v="0"/>
    <s v="West"/>
    <s v="Desktop"/>
    <s v="Paid Search"/>
    <x v="1"/>
    <n v="0"/>
    <n v="0"/>
    <n v="0"/>
    <n v="0"/>
    <n v="0"/>
    <n v="0"/>
    <n v="0"/>
    <m/>
    <n v="61.1"/>
  </r>
  <r>
    <x v="583"/>
    <d v="2025-02-15T00:00:00"/>
    <x v="0"/>
    <s v="South"/>
    <s v="Desktop"/>
    <s v="Paid Search"/>
    <x v="1"/>
    <n v="0"/>
    <n v="0"/>
    <n v="0"/>
    <n v="0"/>
    <n v="0"/>
    <n v="0"/>
    <n v="0"/>
    <m/>
    <n v="42.4"/>
  </r>
  <r>
    <x v="584"/>
    <d v="2025-01-08T00:00:00"/>
    <x v="0"/>
    <s v="North"/>
    <s v="Mobile"/>
    <s v="Social"/>
    <x v="1"/>
    <n v="0"/>
    <n v="0"/>
    <n v="0"/>
    <n v="0"/>
    <n v="0"/>
    <n v="1"/>
    <n v="0"/>
    <m/>
    <n v="46.6"/>
  </r>
  <r>
    <x v="585"/>
    <d v="2025-01-29T00:00:00"/>
    <x v="0"/>
    <s v="South"/>
    <s v="Mobile"/>
    <s v="Organic"/>
    <x v="2"/>
    <n v="1"/>
    <n v="1"/>
    <n v="0"/>
    <n v="0"/>
    <n v="0"/>
    <n v="0"/>
    <n v="0"/>
    <m/>
    <n v="72.099999999999994"/>
  </r>
  <r>
    <x v="586"/>
    <d v="2025-05-07T00:00:00"/>
    <x v="0"/>
    <s v="East"/>
    <s v="Tablet"/>
    <s v="Organic"/>
    <x v="1"/>
    <n v="0"/>
    <n v="0"/>
    <n v="0"/>
    <n v="0"/>
    <n v="0"/>
    <n v="0"/>
    <n v="0"/>
    <m/>
    <n v="21.5"/>
  </r>
  <r>
    <x v="587"/>
    <d v="2025-03-01T00:00:00"/>
    <x v="0"/>
    <s v="North"/>
    <s v="Mobile"/>
    <s v="Social"/>
    <x v="0"/>
    <n v="1"/>
    <n v="0"/>
    <n v="0"/>
    <n v="0"/>
    <n v="0"/>
    <n v="1"/>
    <n v="0"/>
    <m/>
    <n v="65.400000000000006"/>
  </r>
  <r>
    <x v="588"/>
    <d v="2025-04-20T00:00:00"/>
    <x v="0"/>
    <s v="East"/>
    <s v="Mobile"/>
    <s v="Organic"/>
    <x v="1"/>
    <n v="1"/>
    <n v="1"/>
    <n v="0"/>
    <n v="0"/>
    <n v="0"/>
    <n v="0"/>
    <n v="0"/>
    <m/>
    <n v="53.3"/>
  </r>
  <r>
    <x v="589"/>
    <d v="2025-01-16T00:00:00"/>
    <x v="0"/>
    <s v="East"/>
    <s v="Mobile"/>
    <s v="Organic"/>
    <x v="2"/>
    <n v="0"/>
    <n v="0"/>
    <n v="0"/>
    <n v="0"/>
    <n v="0"/>
    <n v="2"/>
    <n v="0"/>
    <m/>
    <n v="52.3"/>
  </r>
  <r>
    <x v="590"/>
    <d v="2025-04-04T00:00:00"/>
    <x v="0"/>
    <s v="East"/>
    <s v="Mobile"/>
    <s v="Paid Search"/>
    <x v="1"/>
    <n v="1"/>
    <n v="0"/>
    <n v="0"/>
    <n v="0"/>
    <n v="0"/>
    <n v="0"/>
    <n v="0"/>
    <m/>
    <n v="62.5"/>
  </r>
  <r>
    <x v="591"/>
    <d v="2025-01-29T00:00:00"/>
    <x v="0"/>
    <s v="North"/>
    <s v="Tablet"/>
    <s v="Social"/>
    <x v="1"/>
    <n v="1"/>
    <n v="0"/>
    <n v="0"/>
    <n v="0"/>
    <n v="0"/>
    <n v="0"/>
    <n v="0"/>
    <m/>
    <n v="69.8"/>
  </r>
  <r>
    <x v="592"/>
    <d v="2025-04-19T00:00:00"/>
    <x v="0"/>
    <s v="East"/>
    <s v="Mobile"/>
    <s v="Email"/>
    <x v="1"/>
    <n v="1"/>
    <n v="0"/>
    <n v="0"/>
    <n v="0"/>
    <n v="0"/>
    <n v="0"/>
    <n v="0"/>
    <m/>
    <n v="68.2"/>
  </r>
  <r>
    <x v="593"/>
    <d v="2025-03-10T00:00:00"/>
    <x v="0"/>
    <s v="South"/>
    <s v="Mobile"/>
    <s v="Social"/>
    <x v="0"/>
    <n v="1"/>
    <n v="1"/>
    <n v="1"/>
    <n v="1"/>
    <n v="751.73"/>
    <n v="0"/>
    <n v="0"/>
    <n v="6"/>
    <n v="35.200000000000003"/>
  </r>
  <r>
    <x v="594"/>
    <d v="2025-05-10T00:00:00"/>
    <x v="0"/>
    <s v="South"/>
    <s v="Mobile"/>
    <s v="Social"/>
    <x v="0"/>
    <n v="0"/>
    <n v="0"/>
    <n v="0"/>
    <n v="0"/>
    <n v="0"/>
    <n v="0"/>
    <n v="0"/>
    <m/>
    <n v="59.3"/>
  </r>
  <r>
    <x v="595"/>
    <d v="2025-02-02T00:00:00"/>
    <x v="0"/>
    <s v="North"/>
    <s v="Mobile"/>
    <s v="Social"/>
    <x v="1"/>
    <n v="0"/>
    <n v="0"/>
    <n v="0"/>
    <n v="0"/>
    <n v="0"/>
    <n v="0"/>
    <n v="0"/>
    <m/>
    <n v="68.099999999999994"/>
  </r>
  <r>
    <x v="596"/>
    <d v="2025-05-06T00:00:00"/>
    <x v="0"/>
    <s v="North"/>
    <s v="Desktop"/>
    <s v="Organic"/>
    <x v="1"/>
    <n v="1"/>
    <n v="1"/>
    <n v="0"/>
    <n v="0"/>
    <n v="0"/>
    <n v="0"/>
    <n v="0"/>
    <m/>
    <n v="74.8"/>
  </r>
  <r>
    <x v="597"/>
    <d v="2025-01-19T00:00:00"/>
    <x v="0"/>
    <s v="West"/>
    <s v="Desktop"/>
    <s v="Organic"/>
    <x v="1"/>
    <n v="1"/>
    <n v="1"/>
    <n v="1"/>
    <n v="0"/>
    <n v="0"/>
    <n v="0"/>
    <n v="0"/>
    <m/>
    <n v="61.7"/>
  </r>
  <r>
    <x v="598"/>
    <d v="2025-01-02T00:00:00"/>
    <x v="0"/>
    <s v="North"/>
    <s v="Mobile"/>
    <s v="Organic"/>
    <x v="1"/>
    <n v="1"/>
    <n v="0"/>
    <n v="0"/>
    <n v="0"/>
    <n v="0"/>
    <n v="0"/>
    <n v="0"/>
    <m/>
    <n v="24.3"/>
  </r>
  <r>
    <x v="599"/>
    <d v="2025-05-03T00:00:00"/>
    <x v="0"/>
    <s v="South"/>
    <s v="Desktop"/>
    <s v="Paid Search"/>
    <x v="1"/>
    <n v="0"/>
    <n v="0"/>
    <n v="0"/>
    <n v="0"/>
    <n v="0"/>
    <n v="1"/>
    <n v="0"/>
    <m/>
    <n v="61.9"/>
  </r>
  <r>
    <x v="600"/>
    <d v="2025-05-27T00:00:00"/>
    <x v="0"/>
    <s v="East"/>
    <s v="Desktop"/>
    <s v="Referral"/>
    <x v="2"/>
    <n v="0"/>
    <n v="0"/>
    <n v="0"/>
    <n v="0"/>
    <n v="0"/>
    <n v="2"/>
    <n v="0"/>
    <m/>
    <n v="41.7"/>
  </r>
  <r>
    <x v="601"/>
    <d v="2025-02-09T00:00:00"/>
    <x v="0"/>
    <s v="South"/>
    <s v="Desktop"/>
    <s v="Social"/>
    <x v="1"/>
    <n v="1"/>
    <n v="0"/>
    <n v="0"/>
    <n v="0"/>
    <n v="0"/>
    <n v="0"/>
    <n v="0"/>
    <m/>
    <n v="87.6"/>
  </r>
  <r>
    <x v="602"/>
    <d v="2025-05-18T00:00:00"/>
    <x v="0"/>
    <s v="East"/>
    <s v="Mobile"/>
    <s v="Paid Search"/>
    <x v="1"/>
    <n v="1"/>
    <n v="0"/>
    <n v="0"/>
    <n v="0"/>
    <n v="0"/>
    <n v="0"/>
    <n v="0"/>
    <m/>
    <n v="30.8"/>
  </r>
  <r>
    <x v="603"/>
    <d v="2025-05-17T00:00:00"/>
    <x v="0"/>
    <s v="North"/>
    <s v="Mobile"/>
    <s v="Email"/>
    <x v="1"/>
    <n v="0"/>
    <n v="0"/>
    <n v="0"/>
    <n v="0"/>
    <n v="0"/>
    <n v="0"/>
    <n v="0"/>
    <m/>
    <n v="54"/>
  </r>
  <r>
    <x v="604"/>
    <d v="2025-01-25T00:00:00"/>
    <x v="0"/>
    <s v="East"/>
    <s v="Desktop"/>
    <s v="Referral"/>
    <x v="0"/>
    <n v="1"/>
    <n v="0"/>
    <n v="0"/>
    <n v="0"/>
    <n v="0"/>
    <n v="1"/>
    <n v="0"/>
    <m/>
    <n v="54.5"/>
  </r>
  <r>
    <x v="605"/>
    <d v="2025-05-04T00:00:00"/>
    <x v="0"/>
    <s v="West"/>
    <s v="Mobile"/>
    <s v="Paid Search"/>
    <x v="2"/>
    <n v="1"/>
    <n v="1"/>
    <n v="0"/>
    <n v="0"/>
    <n v="0"/>
    <n v="0"/>
    <n v="0"/>
    <m/>
    <n v="61.3"/>
  </r>
  <r>
    <x v="606"/>
    <d v="2025-04-14T00:00:00"/>
    <x v="0"/>
    <s v="West"/>
    <s v="Mobile"/>
    <s v="Organic"/>
    <x v="1"/>
    <n v="1"/>
    <n v="0"/>
    <n v="0"/>
    <n v="0"/>
    <n v="0"/>
    <n v="0"/>
    <n v="0"/>
    <m/>
    <n v="62.7"/>
  </r>
  <r>
    <x v="607"/>
    <d v="2025-04-18T00:00:00"/>
    <x v="0"/>
    <s v="South"/>
    <s v="Mobile"/>
    <s v="Paid Search"/>
    <x v="1"/>
    <n v="1"/>
    <n v="1"/>
    <n v="0"/>
    <n v="0"/>
    <n v="0"/>
    <n v="0"/>
    <n v="0"/>
    <m/>
    <n v="43.1"/>
  </r>
  <r>
    <x v="608"/>
    <d v="2025-02-24T00:00:00"/>
    <x v="0"/>
    <s v="South"/>
    <s v="Desktop"/>
    <s v="Email"/>
    <x v="0"/>
    <n v="0"/>
    <n v="0"/>
    <n v="0"/>
    <n v="0"/>
    <n v="0"/>
    <n v="0"/>
    <n v="0"/>
    <m/>
    <n v="59.9"/>
  </r>
  <r>
    <x v="609"/>
    <d v="2025-04-19T00:00:00"/>
    <x v="0"/>
    <s v="North"/>
    <s v="Tablet"/>
    <s v="Paid Search"/>
    <x v="1"/>
    <n v="1"/>
    <n v="1"/>
    <n v="1"/>
    <n v="0"/>
    <n v="0"/>
    <n v="0"/>
    <n v="0"/>
    <m/>
    <n v="55.7"/>
  </r>
  <r>
    <x v="610"/>
    <d v="2025-03-07T00:00:00"/>
    <x v="0"/>
    <s v="South"/>
    <s v="Desktop"/>
    <s v="Organic"/>
    <x v="0"/>
    <n v="1"/>
    <n v="0"/>
    <n v="0"/>
    <n v="0"/>
    <n v="0"/>
    <n v="0"/>
    <n v="0"/>
    <m/>
    <n v="37.1"/>
  </r>
  <r>
    <x v="611"/>
    <d v="2025-03-09T00:00:00"/>
    <x v="0"/>
    <s v="East"/>
    <s v="Mobile"/>
    <s v="Organic"/>
    <x v="0"/>
    <n v="0"/>
    <n v="0"/>
    <n v="0"/>
    <n v="0"/>
    <n v="0"/>
    <n v="1"/>
    <n v="0"/>
    <m/>
    <n v="46.7"/>
  </r>
  <r>
    <x v="612"/>
    <d v="2025-05-01T00:00:00"/>
    <x v="0"/>
    <s v="South"/>
    <s v="Desktop"/>
    <s v="Organic"/>
    <x v="0"/>
    <n v="1"/>
    <n v="0"/>
    <n v="0"/>
    <n v="0"/>
    <n v="0"/>
    <n v="0"/>
    <n v="0"/>
    <m/>
    <n v="54.1"/>
  </r>
  <r>
    <x v="613"/>
    <d v="2025-02-09T00:00:00"/>
    <x v="0"/>
    <s v="West"/>
    <s v="Desktop"/>
    <s v="Organic"/>
    <x v="2"/>
    <n v="1"/>
    <n v="1"/>
    <n v="1"/>
    <n v="0"/>
    <n v="0"/>
    <n v="0"/>
    <n v="0"/>
    <m/>
    <n v="56.1"/>
  </r>
  <r>
    <x v="614"/>
    <d v="2025-05-22T00:00:00"/>
    <x v="0"/>
    <s v="West"/>
    <s v="Mobile"/>
    <s v="Referral"/>
    <x v="2"/>
    <n v="0"/>
    <n v="0"/>
    <n v="0"/>
    <n v="0"/>
    <n v="0"/>
    <n v="0"/>
    <n v="0"/>
    <m/>
    <n v="23.6"/>
  </r>
  <r>
    <x v="615"/>
    <d v="2025-02-11T00:00:00"/>
    <x v="0"/>
    <s v="North"/>
    <s v="Mobile"/>
    <s v="Organic"/>
    <x v="2"/>
    <n v="0"/>
    <n v="0"/>
    <n v="0"/>
    <n v="0"/>
    <n v="0"/>
    <n v="0"/>
    <n v="0"/>
    <m/>
    <n v="54.7"/>
  </r>
  <r>
    <x v="616"/>
    <d v="2025-04-12T00:00:00"/>
    <x v="0"/>
    <s v="North"/>
    <s v="Mobile"/>
    <s v="Referral"/>
    <x v="0"/>
    <n v="0"/>
    <n v="0"/>
    <n v="0"/>
    <n v="0"/>
    <n v="0"/>
    <n v="2"/>
    <n v="0"/>
    <m/>
    <n v="50.4"/>
  </r>
  <r>
    <x v="617"/>
    <d v="2025-03-01T00:00:00"/>
    <x v="0"/>
    <s v="West"/>
    <s v="Mobile"/>
    <s v="Social"/>
    <x v="1"/>
    <n v="1"/>
    <n v="0"/>
    <n v="0"/>
    <n v="0"/>
    <n v="0"/>
    <n v="0"/>
    <n v="0"/>
    <m/>
    <n v="54.5"/>
  </r>
  <r>
    <x v="618"/>
    <d v="2025-03-17T00:00:00"/>
    <x v="0"/>
    <s v="West"/>
    <s v="Desktop"/>
    <s v="Email"/>
    <x v="0"/>
    <n v="0"/>
    <n v="0"/>
    <n v="0"/>
    <n v="0"/>
    <n v="0"/>
    <n v="0"/>
    <n v="0"/>
    <m/>
    <n v="58"/>
  </r>
  <r>
    <x v="619"/>
    <d v="2025-01-11T00:00:00"/>
    <x v="0"/>
    <s v="North"/>
    <s v="Mobile"/>
    <s v="Paid Search"/>
    <x v="1"/>
    <n v="0"/>
    <n v="0"/>
    <n v="0"/>
    <n v="0"/>
    <n v="0"/>
    <n v="0"/>
    <n v="0"/>
    <m/>
    <n v="42.9"/>
  </r>
  <r>
    <x v="620"/>
    <d v="2025-02-17T00:00:00"/>
    <x v="0"/>
    <s v="South"/>
    <s v="Mobile"/>
    <s v="Social"/>
    <x v="2"/>
    <n v="1"/>
    <n v="0"/>
    <n v="0"/>
    <n v="0"/>
    <n v="0"/>
    <n v="0"/>
    <n v="0"/>
    <m/>
    <n v="51.1"/>
  </r>
  <r>
    <x v="621"/>
    <d v="2025-03-25T00:00:00"/>
    <x v="0"/>
    <s v="East"/>
    <s v="Mobile"/>
    <s v="Paid Search"/>
    <x v="0"/>
    <n v="1"/>
    <n v="1"/>
    <n v="0"/>
    <n v="0"/>
    <n v="0"/>
    <n v="0"/>
    <n v="0"/>
    <m/>
    <n v="51.8"/>
  </r>
  <r>
    <x v="622"/>
    <d v="2025-05-01T00:00:00"/>
    <x v="0"/>
    <s v="South"/>
    <s v="Mobile"/>
    <s v="Paid Search"/>
    <x v="1"/>
    <n v="0"/>
    <n v="0"/>
    <n v="0"/>
    <n v="0"/>
    <n v="0"/>
    <n v="0"/>
    <n v="0"/>
    <m/>
    <n v="67.7"/>
  </r>
  <r>
    <x v="623"/>
    <d v="2025-04-02T00:00:00"/>
    <x v="0"/>
    <s v="East"/>
    <s v="Mobile"/>
    <s v="Organic"/>
    <x v="0"/>
    <n v="0"/>
    <n v="0"/>
    <n v="0"/>
    <n v="0"/>
    <n v="0"/>
    <n v="0"/>
    <n v="0"/>
    <m/>
    <n v="75.8"/>
  </r>
  <r>
    <x v="624"/>
    <d v="2025-04-05T00:00:00"/>
    <x v="0"/>
    <s v="East"/>
    <s v="Mobile"/>
    <s v="Email"/>
    <x v="1"/>
    <n v="1"/>
    <n v="1"/>
    <n v="0"/>
    <n v="0"/>
    <n v="0"/>
    <n v="0"/>
    <n v="0"/>
    <m/>
    <n v="72.8"/>
  </r>
  <r>
    <x v="625"/>
    <d v="2025-02-24T00:00:00"/>
    <x v="0"/>
    <s v="North"/>
    <s v="Desktop"/>
    <s v="Social"/>
    <x v="1"/>
    <n v="1"/>
    <n v="1"/>
    <n v="0"/>
    <n v="0"/>
    <n v="0"/>
    <n v="0"/>
    <n v="0"/>
    <m/>
    <n v="54.4"/>
  </r>
  <r>
    <x v="626"/>
    <d v="2025-01-24T00:00:00"/>
    <x v="0"/>
    <s v="West"/>
    <s v="Mobile"/>
    <s v="Paid Search"/>
    <x v="0"/>
    <n v="1"/>
    <n v="0"/>
    <n v="0"/>
    <n v="0"/>
    <n v="0"/>
    <n v="0"/>
    <n v="0"/>
    <m/>
    <n v="51.8"/>
  </r>
  <r>
    <x v="627"/>
    <d v="2025-04-10T00:00:00"/>
    <x v="0"/>
    <s v="South"/>
    <s v="Mobile"/>
    <s v="Paid Search"/>
    <x v="1"/>
    <n v="0"/>
    <n v="0"/>
    <n v="0"/>
    <n v="0"/>
    <n v="0"/>
    <n v="0"/>
    <n v="0"/>
    <m/>
    <n v="40.299999999999997"/>
  </r>
  <r>
    <x v="628"/>
    <d v="2025-02-19T00:00:00"/>
    <x v="0"/>
    <s v="South"/>
    <s v="Mobile"/>
    <s v="Referral"/>
    <x v="1"/>
    <n v="1"/>
    <n v="1"/>
    <n v="1"/>
    <n v="0"/>
    <n v="0"/>
    <n v="0"/>
    <n v="0"/>
    <m/>
    <n v="61.7"/>
  </r>
  <r>
    <x v="629"/>
    <d v="2025-03-22T00:00:00"/>
    <x v="0"/>
    <s v="North"/>
    <s v="Mobile"/>
    <s v="Social"/>
    <x v="1"/>
    <n v="0"/>
    <n v="0"/>
    <n v="0"/>
    <n v="0"/>
    <n v="0"/>
    <n v="0"/>
    <n v="0"/>
    <m/>
    <n v="45"/>
  </r>
  <r>
    <x v="630"/>
    <d v="2025-04-08T00:00:00"/>
    <x v="0"/>
    <s v="East"/>
    <s v="Desktop"/>
    <s v="Organic"/>
    <x v="2"/>
    <n v="1"/>
    <n v="1"/>
    <n v="1"/>
    <n v="0"/>
    <n v="0"/>
    <n v="0"/>
    <n v="0"/>
    <m/>
    <n v="60"/>
  </r>
  <r>
    <x v="631"/>
    <d v="2025-03-16T00:00:00"/>
    <x v="0"/>
    <s v="North"/>
    <s v="Mobile"/>
    <s v="Social"/>
    <x v="1"/>
    <n v="1"/>
    <n v="0"/>
    <n v="0"/>
    <n v="0"/>
    <n v="0"/>
    <n v="0"/>
    <n v="0"/>
    <m/>
    <m/>
  </r>
  <r>
    <x v="632"/>
    <d v="2025-03-07T00:00:00"/>
    <x v="0"/>
    <s v="East"/>
    <s v="Mobile"/>
    <s v="Paid Search"/>
    <x v="1"/>
    <n v="1"/>
    <n v="0"/>
    <n v="0"/>
    <n v="0"/>
    <n v="0"/>
    <n v="0"/>
    <n v="0"/>
    <m/>
    <n v="55.5"/>
  </r>
  <r>
    <x v="633"/>
    <d v="2025-03-16T00:00:00"/>
    <x v="0"/>
    <s v="South"/>
    <s v="Mobile"/>
    <s v="Referral"/>
    <x v="0"/>
    <n v="0"/>
    <n v="0"/>
    <n v="0"/>
    <n v="0"/>
    <n v="0"/>
    <n v="0"/>
    <n v="0"/>
    <m/>
    <n v="51.8"/>
  </r>
  <r>
    <x v="634"/>
    <d v="2025-05-26T00:00:00"/>
    <x v="0"/>
    <s v="East"/>
    <s v="Mobile"/>
    <m/>
    <x v="2"/>
    <n v="1"/>
    <n v="0"/>
    <n v="0"/>
    <n v="0"/>
    <n v="0"/>
    <n v="3"/>
    <n v="0"/>
    <m/>
    <n v="56"/>
  </r>
  <r>
    <x v="635"/>
    <d v="2025-01-14T00:00:00"/>
    <x v="0"/>
    <s v="West"/>
    <s v="Mobile"/>
    <s v="Organic"/>
    <x v="1"/>
    <n v="0"/>
    <n v="0"/>
    <n v="0"/>
    <n v="0"/>
    <n v="0"/>
    <n v="0"/>
    <n v="0"/>
    <m/>
    <n v="52.5"/>
  </r>
  <r>
    <x v="636"/>
    <d v="2025-03-30T00:00:00"/>
    <x v="0"/>
    <s v="West"/>
    <s v="Mobile"/>
    <s v="Paid Search"/>
    <x v="2"/>
    <n v="1"/>
    <n v="0"/>
    <n v="0"/>
    <n v="0"/>
    <n v="0"/>
    <n v="0"/>
    <n v="0"/>
    <m/>
    <n v="42.5"/>
  </r>
  <r>
    <x v="637"/>
    <d v="2025-05-12T00:00:00"/>
    <x v="0"/>
    <s v="East"/>
    <s v="Desktop"/>
    <s v="Email"/>
    <x v="1"/>
    <n v="1"/>
    <n v="1"/>
    <n v="1"/>
    <n v="0"/>
    <n v="0"/>
    <n v="0"/>
    <n v="0"/>
    <m/>
    <n v="65.3"/>
  </r>
  <r>
    <x v="638"/>
    <d v="2025-05-10T00:00:00"/>
    <x v="0"/>
    <s v="West"/>
    <s v="Mobile"/>
    <s v="Paid Search"/>
    <x v="1"/>
    <n v="0"/>
    <n v="0"/>
    <n v="0"/>
    <n v="0"/>
    <n v="0"/>
    <n v="0"/>
    <n v="0"/>
    <m/>
    <n v="37.6"/>
  </r>
  <r>
    <x v="639"/>
    <d v="2025-04-09T00:00:00"/>
    <x v="0"/>
    <s v="East"/>
    <s v="Mobile"/>
    <s v="Social"/>
    <x v="0"/>
    <n v="0"/>
    <n v="0"/>
    <n v="0"/>
    <n v="0"/>
    <n v="0"/>
    <n v="0"/>
    <n v="0"/>
    <m/>
    <n v="57.8"/>
  </r>
  <r>
    <x v="640"/>
    <d v="2025-05-26T00:00:00"/>
    <x v="0"/>
    <s v="North"/>
    <s v="Mobile"/>
    <s v="Social"/>
    <x v="1"/>
    <n v="1"/>
    <n v="0"/>
    <n v="0"/>
    <n v="0"/>
    <n v="0"/>
    <n v="0"/>
    <n v="0"/>
    <m/>
    <n v="52.7"/>
  </r>
  <r>
    <x v="641"/>
    <d v="2025-02-12T00:00:00"/>
    <x v="0"/>
    <s v="North"/>
    <s v="Mobile"/>
    <s v="Organic"/>
    <x v="1"/>
    <n v="1"/>
    <n v="0"/>
    <n v="0"/>
    <n v="0"/>
    <n v="0"/>
    <n v="0"/>
    <n v="0"/>
    <m/>
    <n v="51.7"/>
  </r>
  <r>
    <x v="642"/>
    <d v="2025-04-01T00:00:00"/>
    <x v="0"/>
    <s v="North"/>
    <s v="Desktop"/>
    <s v="Email"/>
    <x v="0"/>
    <n v="0"/>
    <n v="0"/>
    <n v="0"/>
    <n v="0"/>
    <n v="0"/>
    <n v="0"/>
    <n v="0"/>
    <m/>
    <n v="57"/>
  </r>
  <r>
    <x v="643"/>
    <d v="2025-01-18T00:00:00"/>
    <x v="0"/>
    <s v="South"/>
    <s v="Desktop"/>
    <s v="Organic"/>
    <x v="0"/>
    <n v="0"/>
    <n v="0"/>
    <n v="0"/>
    <n v="0"/>
    <n v="0"/>
    <n v="0"/>
    <n v="0"/>
    <m/>
    <n v="39.5"/>
  </r>
  <r>
    <x v="644"/>
    <d v="2025-04-06T00:00:00"/>
    <x v="0"/>
    <s v="East"/>
    <s v="Tablet"/>
    <s v="Organic"/>
    <x v="1"/>
    <n v="1"/>
    <n v="0"/>
    <n v="0"/>
    <n v="0"/>
    <n v="0"/>
    <n v="0"/>
    <n v="0"/>
    <m/>
    <n v="76.5"/>
  </r>
  <r>
    <x v="645"/>
    <d v="2025-04-17T00:00:00"/>
    <x v="0"/>
    <s v="East"/>
    <s v="Mobile"/>
    <s v="Organic"/>
    <x v="1"/>
    <n v="1"/>
    <n v="0"/>
    <n v="0"/>
    <n v="0"/>
    <n v="0"/>
    <n v="0"/>
    <n v="0"/>
    <m/>
    <n v="32.4"/>
  </r>
  <r>
    <x v="646"/>
    <d v="2025-02-07T00:00:00"/>
    <x v="0"/>
    <s v="North"/>
    <s v="Desktop"/>
    <s v="Paid Search"/>
    <x v="1"/>
    <n v="0"/>
    <n v="0"/>
    <n v="0"/>
    <n v="0"/>
    <n v="0"/>
    <n v="0"/>
    <n v="0"/>
    <m/>
    <n v="58.6"/>
  </r>
  <r>
    <x v="647"/>
    <d v="2025-03-04T00:00:00"/>
    <x v="0"/>
    <s v="East"/>
    <s v="Mobile"/>
    <s v="Organic"/>
    <x v="0"/>
    <n v="1"/>
    <n v="0"/>
    <n v="0"/>
    <n v="0"/>
    <n v="0"/>
    <n v="0"/>
    <n v="0"/>
    <m/>
    <n v="78.599999999999994"/>
  </r>
  <r>
    <x v="648"/>
    <d v="2025-02-17T00:00:00"/>
    <x v="0"/>
    <s v="North"/>
    <s v="Desktop"/>
    <s v="Organic"/>
    <x v="2"/>
    <n v="0"/>
    <n v="0"/>
    <n v="0"/>
    <n v="0"/>
    <n v="0"/>
    <n v="0"/>
    <n v="0"/>
    <m/>
    <n v="54.5"/>
  </r>
  <r>
    <x v="649"/>
    <d v="2025-05-06T00:00:00"/>
    <x v="0"/>
    <s v="South"/>
    <s v="Mobile"/>
    <s v="Referral"/>
    <x v="1"/>
    <n v="1"/>
    <n v="0"/>
    <n v="0"/>
    <n v="0"/>
    <n v="0"/>
    <n v="0"/>
    <n v="0"/>
    <m/>
    <n v="57.6"/>
  </r>
  <r>
    <x v="650"/>
    <d v="2025-03-25T00:00:00"/>
    <x v="0"/>
    <s v="South"/>
    <s v="Mobile"/>
    <s v="Referral"/>
    <x v="2"/>
    <n v="0"/>
    <n v="0"/>
    <n v="0"/>
    <n v="0"/>
    <n v="0"/>
    <n v="0"/>
    <n v="0"/>
    <m/>
    <n v="52.8"/>
  </r>
  <r>
    <x v="651"/>
    <d v="2025-03-04T00:00:00"/>
    <x v="0"/>
    <s v="West"/>
    <s v="Mobile"/>
    <s v="Email"/>
    <x v="2"/>
    <n v="1"/>
    <n v="0"/>
    <n v="0"/>
    <n v="0"/>
    <n v="0"/>
    <n v="0"/>
    <n v="0"/>
    <m/>
    <n v="52.9"/>
  </r>
  <r>
    <x v="652"/>
    <d v="2025-05-09T00:00:00"/>
    <x v="0"/>
    <s v="West"/>
    <s v="Mobile"/>
    <s v="Organic"/>
    <x v="1"/>
    <n v="1"/>
    <n v="0"/>
    <n v="0"/>
    <n v="0"/>
    <n v="0"/>
    <n v="1"/>
    <n v="0"/>
    <m/>
    <n v="55.9"/>
  </r>
  <r>
    <x v="653"/>
    <d v="2025-05-17T00:00:00"/>
    <x v="0"/>
    <s v="West"/>
    <s v="Mobile"/>
    <s v="Referral"/>
    <x v="2"/>
    <n v="1"/>
    <n v="0"/>
    <n v="0"/>
    <n v="0"/>
    <n v="0"/>
    <n v="0"/>
    <n v="0"/>
    <m/>
    <n v="74.2"/>
  </r>
  <r>
    <x v="654"/>
    <d v="2025-01-12T00:00:00"/>
    <x v="0"/>
    <s v="West"/>
    <s v="Mobile"/>
    <s v="Organic"/>
    <x v="1"/>
    <n v="0"/>
    <n v="0"/>
    <n v="0"/>
    <n v="0"/>
    <n v="0"/>
    <n v="0"/>
    <n v="0"/>
    <m/>
    <n v="46.3"/>
  </r>
  <r>
    <x v="655"/>
    <d v="2025-03-12T00:00:00"/>
    <x v="0"/>
    <s v="West"/>
    <s v="Mobile"/>
    <s v="Organic"/>
    <x v="2"/>
    <n v="1"/>
    <n v="0"/>
    <n v="0"/>
    <n v="0"/>
    <n v="0"/>
    <n v="0"/>
    <n v="0"/>
    <m/>
    <n v="62"/>
  </r>
  <r>
    <x v="656"/>
    <d v="2025-04-02T00:00:00"/>
    <x v="0"/>
    <s v="South"/>
    <s v="Mobile"/>
    <s v="Organic"/>
    <x v="0"/>
    <n v="0"/>
    <n v="0"/>
    <n v="0"/>
    <n v="0"/>
    <n v="0"/>
    <n v="0"/>
    <n v="0"/>
    <m/>
    <n v="55.6"/>
  </r>
  <r>
    <x v="657"/>
    <d v="2025-01-13T00:00:00"/>
    <x v="0"/>
    <s v="South"/>
    <s v="Mobile"/>
    <s v="Organic"/>
    <x v="0"/>
    <n v="1"/>
    <n v="0"/>
    <n v="0"/>
    <n v="0"/>
    <n v="0"/>
    <n v="0"/>
    <n v="0"/>
    <m/>
    <n v="62.8"/>
  </r>
  <r>
    <x v="658"/>
    <d v="2025-03-07T00:00:00"/>
    <x v="0"/>
    <s v="East"/>
    <s v="Mobile"/>
    <s v="Referral"/>
    <x v="1"/>
    <n v="0"/>
    <n v="0"/>
    <n v="0"/>
    <n v="0"/>
    <n v="0"/>
    <n v="0"/>
    <n v="0"/>
    <m/>
    <n v="73.099999999999994"/>
  </r>
  <r>
    <x v="659"/>
    <d v="2025-04-20T00:00:00"/>
    <x v="0"/>
    <s v="South"/>
    <s v="Desktop"/>
    <s v="Social"/>
    <x v="1"/>
    <n v="1"/>
    <n v="1"/>
    <n v="1"/>
    <n v="1"/>
    <n v="347.52"/>
    <n v="0"/>
    <n v="0"/>
    <n v="2"/>
    <n v="57.2"/>
  </r>
  <r>
    <x v="660"/>
    <d v="2025-01-07T00:00:00"/>
    <x v="0"/>
    <s v="South"/>
    <s v="Mobile"/>
    <s v="Paid Search"/>
    <x v="1"/>
    <n v="1"/>
    <n v="0"/>
    <n v="0"/>
    <n v="0"/>
    <n v="0"/>
    <n v="0"/>
    <n v="0"/>
    <m/>
    <n v="67.900000000000006"/>
  </r>
  <r>
    <x v="661"/>
    <d v="2025-04-23T00:00:00"/>
    <x v="0"/>
    <s v="South"/>
    <s v="Mobile"/>
    <s v="Referral"/>
    <x v="1"/>
    <n v="0"/>
    <n v="0"/>
    <n v="0"/>
    <n v="0"/>
    <n v="0"/>
    <n v="0"/>
    <n v="0"/>
    <m/>
    <n v="50.1"/>
  </r>
  <r>
    <x v="662"/>
    <d v="2025-05-26T00:00:00"/>
    <x v="0"/>
    <s v="North"/>
    <s v="Mobile"/>
    <s v="Paid Search"/>
    <x v="0"/>
    <n v="0"/>
    <n v="0"/>
    <n v="0"/>
    <n v="0"/>
    <n v="0"/>
    <n v="0"/>
    <n v="0"/>
    <m/>
    <n v="67.8"/>
  </r>
  <r>
    <x v="663"/>
    <d v="2025-03-17T00:00:00"/>
    <x v="0"/>
    <s v="North"/>
    <s v="Desktop"/>
    <s v="Social"/>
    <x v="0"/>
    <n v="1"/>
    <n v="1"/>
    <n v="1"/>
    <n v="0"/>
    <n v="0"/>
    <n v="0"/>
    <n v="0"/>
    <m/>
    <n v="60.8"/>
  </r>
  <r>
    <x v="664"/>
    <d v="2025-05-17T00:00:00"/>
    <x v="0"/>
    <s v="North"/>
    <s v="Desktop"/>
    <s v="Paid Search"/>
    <x v="0"/>
    <n v="1"/>
    <n v="0"/>
    <n v="0"/>
    <n v="0"/>
    <n v="0"/>
    <n v="3"/>
    <n v="0"/>
    <m/>
    <n v="33.700000000000003"/>
  </r>
  <r>
    <x v="665"/>
    <d v="2025-02-21T00:00:00"/>
    <x v="0"/>
    <s v="North"/>
    <s v="Mobile"/>
    <s v="Paid Search"/>
    <x v="0"/>
    <n v="0"/>
    <n v="0"/>
    <n v="0"/>
    <n v="0"/>
    <n v="0"/>
    <n v="0"/>
    <n v="0"/>
    <m/>
    <n v="45.2"/>
  </r>
  <r>
    <x v="666"/>
    <d v="2025-02-25T00:00:00"/>
    <x v="0"/>
    <s v="East"/>
    <s v="Desktop"/>
    <s v="Paid Search"/>
    <x v="2"/>
    <n v="0"/>
    <n v="0"/>
    <n v="0"/>
    <n v="0"/>
    <n v="0"/>
    <n v="0"/>
    <n v="0"/>
    <m/>
    <n v="48.2"/>
  </r>
  <r>
    <x v="667"/>
    <d v="2025-01-30T00:00:00"/>
    <x v="0"/>
    <s v="South"/>
    <s v="Mobile"/>
    <s v="Social"/>
    <x v="1"/>
    <n v="1"/>
    <n v="1"/>
    <n v="0"/>
    <n v="0"/>
    <n v="0"/>
    <n v="1"/>
    <n v="0"/>
    <m/>
    <n v="44.8"/>
  </r>
  <r>
    <x v="668"/>
    <d v="2025-02-17T00:00:00"/>
    <x v="0"/>
    <s v="North"/>
    <s v="Tablet"/>
    <s v="Social"/>
    <x v="0"/>
    <n v="0"/>
    <n v="0"/>
    <n v="0"/>
    <n v="0"/>
    <n v="0"/>
    <n v="0"/>
    <n v="0"/>
    <m/>
    <n v="52.1"/>
  </r>
  <r>
    <x v="669"/>
    <d v="2025-05-17T00:00:00"/>
    <x v="0"/>
    <s v="North"/>
    <s v="Desktop"/>
    <s v="Paid Search"/>
    <x v="0"/>
    <n v="1"/>
    <n v="0"/>
    <n v="0"/>
    <n v="0"/>
    <n v="0"/>
    <n v="0"/>
    <n v="0"/>
    <m/>
    <n v="30.7"/>
  </r>
  <r>
    <x v="670"/>
    <d v="2025-04-30T00:00:00"/>
    <x v="0"/>
    <s v="East"/>
    <s v="Desktop"/>
    <s v="Paid Search"/>
    <x v="1"/>
    <n v="1"/>
    <n v="0"/>
    <n v="0"/>
    <n v="0"/>
    <n v="0"/>
    <n v="0"/>
    <n v="0"/>
    <m/>
    <n v="58.4"/>
  </r>
  <r>
    <x v="671"/>
    <d v="2025-03-22T00:00:00"/>
    <x v="0"/>
    <s v="West"/>
    <s v="Mobile"/>
    <s v="Referral"/>
    <x v="1"/>
    <n v="1"/>
    <n v="1"/>
    <n v="0"/>
    <n v="0"/>
    <n v="0"/>
    <n v="0"/>
    <n v="0"/>
    <m/>
    <n v="52.6"/>
  </r>
  <r>
    <x v="672"/>
    <d v="2025-01-10T00:00:00"/>
    <x v="0"/>
    <s v="West"/>
    <m/>
    <s v="Paid Search"/>
    <x v="1"/>
    <n v="1"/>
    <n v="0"/>
    <n v="0"/>
    <n v="0"/>
    <n v="0"/>
    <n v="1"/>
    <n v="0"/>
    <m/>
    <n v="19.100000000000001"/>
  </r>
  <r>
    <x v="673"/>
    <d v="2025-03-21T00:00:00"/>
    <x v="0"/>
    <s v="South"/>
    <m/>
    <s v="Paid Search"/>
    <x v="1"/>
    <n v="1"/>
    <n v="0"/>
    <n v="0"/>
    <n v="0"/>
    <n v="0"/>
    <n v="0"/>
    <n v="0"/>
    <m/>
    <n v="36.799999999999997"/>
  </r>
  <r>
    <x v="674"/>
    <d v="2025-05-12T00:00:00"/>
    <x v="0"/>
    <s v="North"/>
    <s v="Desktop"/>
    <s v="Paid Search"/>
    <x v="0"/>
    <n v="0"/>
    <n v="0"/>
    <n v="0"/>
    <n v="0"/>
    <n v="0"/>
    <n v="0"/>
    <n v="0"/>
    <m/>
    <n v="68.5"/>
  </r>
  <r>
    <x v="675"/>
    <d v="2025-05-24T00:00:00"/>
    <x v="0"/>
    <s v="West"/>
    <s v="Mobile"/>
    <s v="Paid Search"/>
    <x v="1"/>
    <n v="1"/>
    <n v="1"/>
    <n v="1"/>
    <n v="0"/>
    <n v="0"/>
    <n v="0"/>
    <n v="0"/>
    <m/>
    <n v="40.1"/>
  </r>
  <r>
    <x v="676"/>
    <d v="2025-05-03T00:00:00"/>
    <x v="0"/>
    <s v="West"/>
    <s v="Tablet"/>
    <s v="Organic"/>
    <x v="1"/>
    <n v="1"/>
    <n v="0"/>
    <n v="0"/>
    <n v="0"/>
    <n v="0"/>
    <n v="0"/>
    <n v="0"/>
    <m/>
    <n v="47.5"/>
  </r>
  <r>
    <x v="677"/>
    <d v="2025-01-14T00:00:00"/>
    <x v="0"/>
    <s v="South"/>
    <s v="Mobile"/>
    <s v="Organic"/>
    <x v="0"/>
    <n v="1"/>
    <n v="0"/>
    <n v="0"/>
    <n v="0"/>
    <n v="0"/>
    <n v="0"/>
    <n v="0"/>
    <m/>
    <n v="77.099999999999994"/>
  </r>
  <r>
    <x v="678"/>
    <d v="2025-03-27T00:00:00"/>
    <x v="0"/>
    <s v="West"/>
    <s v="Mobile"/>
    <s v="Social"/>
    <x v="0"/>
    <n v="1"/>
    <n v="0"/>
    <n v="0"/>
    <n v="0"/>
    <n v="0"/>
    <n v="0"/>
    <n v="0"/>
    <m/>
    <n v="75.900000000000006"/>
  </r>
  <r>
    <x v="679"/>
    <d v="2025-02-28T00:00:00"/>
    <x v="0"/>
    <s v="North"/>
    <s v="Desktop"/>
    <s v="Referral"/>
    <x v="2"/>
    <n v="0"/>
    <n v="0"/>
    <n v="0"/>
    <n v="0"/>
    <n v="0"/>
    <n v="1"/>
    <n v="0"/>
    <m/>
    <n v="52"/>
  </r>
  <r>
    <x v="680"/>
    <d v="2025-05-12T00:00:00"/>
    <x v="0"/>
    <s v="West"/>
    <s v="Desktop"/>
    <s v="Referral"/>
    <x v="2"/>
    <n v="1"/>
    <n v="1"/>
    <n v="1"/>
    <n v="0"/>
    <n v="0"/>
    <n v="0"/>
    <n v="0"/>
    <m/>
    <n v="64.900000000000006"/>
  </r>
  <r>
    <x v="681"/>
    <d v="2025-03-14T00:00:00"/>
    <x v="0"/>
    <s v="North"/>
    <s v="Mobile"/>
    <s v="Organic"/>
    <x v="1"/>
    <n v="1"/>
    <n v="0"/>
    <n v="0"/>
    <n v="0"/>
    <n v="0"/>
    <n v="0"/>
    <n v="0"/>
    <m/>
    <n v="48.2"/>
  </r>
  <r>
    <x v="682"/>
    <d v="2025-05-20T00:00:00"/>
    <x v="0"/>
    <s v="East"/>
    <s v="Mobile"/>
    <s v="Organic"/>
    <x v="0"/>
    <n v="0"/>
    <n v="0"/>
    <n v="0"/>
    <n v="0"/>
    <n v="0"/>
    <n v="0"/>
    <n v="0"/>
    <m/>
    <n v="42.1"/>
  </r>
  <r>
    <x v="683"/>
    <d v="2025-02-24T00:00:00"/>
    <x v="0"/>
    <s v="South"/>
    <s v="Desktop"/>
    <s v="Referral"/>
    <x v="1"/>
    <n v="0"/>
    <n v="0"/>
    <n v="0"/>
    <n v="0"/>
    <n v="0"/>
    <n v="0"/>
    <n v="0"/>
    <m/>
    <n v="27.6"/>
  </r>
  <r>
    <x v="684"/>
    <d v="2025-02-13T00:00:00"/>
    <x v="0"/>
    <s v="West"/>
    <s v="Mobile"/>
    <s v="Organic"/>
    <x v="2"/>
    <n v="1"/>
    <n v="0"/>
    <n v="0"/>
    <n v="0"/>
    <n v="0"/>
    <n v="1"/>
    <n v="0"/>
    <m/>
    <n v="68.5"/>
  </r>
  <r>
    <x v="685"/>
    <d v="2025-02-06T00:00:00"/>
    <x v="0"/>
    <s v="South"/>
    <s v="Desktop"/>
    <s v="Organic"/>
    <x v="1"/>
    <n v="1"/>
    <n v="1"/>
    <n v="1"/>
    <n v="0"/>
    <n v="0"/>
    <n v="0"/>
    <n v="0"/>
    <m/>
    <n v="59.2"/>
  </r>
  <r>
    <x v="686"/>
    <d v="2025-03-02T00:00:00"/>
    <x v="0"/>
    <s v="North"/>
    <s v="Mobile"/>
    <s v="Social"/>
    <x v="0"/>
    <n v="1"/>
    <n v="0"/>
    <n v="0"/>
    <n v="0"/>
    <n v="0"/>
    <n v="0"/>
    <n v="0"/>
    <m/>
    <n v="63.3"/>
  </r>
  <r>
    <x v="687"/>
    <d v="2025-04-28T00:00:00"/>
    <x v="0"/>
    <s v="East"/>
    <s v="Desktop"/>
    <s v="Paid Search"/>
    <x v="1"/>
    <n v="0"/>
    <n v="0"/>
    <n v="0"/>
    <n v="0"/>
    <n v="0"/>
    <n v="0"/>
    <n v="0"/>
    <m/>
    <n v="55"/>
  </r>
  <r>
    <x v="688"/>
    <d v="2025-05-27T00:00:00"/>
    <x v="0"/>
    <s v="North"/>
    <s v="Desktop"/>
    <m/>
    <x v="2"/>
    <n v="1"/>
    <n v="0"/>
    <n v="0"/>
    <n v="0"/>
    <n v="0"/>
    <n v="0"/>
    <n v="0"/>
    <m/>
    <n v="64.8"/>
  </r>
  <r>
    <x v="689"/>
    <d v="2025-04-07T00:00:00"/>
    <x v="0"/>
    <s v="South"/>
    <s v="Desktop"/>
    <s v="Organic"/>
    <x v="0"/>
    <n v="0"/>
    <n v="0"/>
    <n v="0"/>
    <n v="0"/>
    <n v="0"/>
    <n v="2"/>
    <n v="0"/>
    <m/>
    <n v="41.8"/>
  </r>
  <r>
    <x v="690"/>
    <d v="2025-04-14T00:00:00"/>
    <x v="1"/>
    <s v="East"/>
    <s v="Desktop"/>
    <s v="Social"/>
    <x v="0"/>
    <n v="1"/>
    <n v="0"/>
    <n v="0"/>
    <n v="0"/>
    <n v="0"/>
    <n v="0"/>
    <n v="0"/>
    <m/>
    <n v="73.2"/>
  </r>
  <r>
    <x v="691"/>
    <d v="2025-05-09T00:00:00"/>
    <x v="1"/>
    <s v="East"/>
    <s v="Desktop"/>
    <s v="Organic"/>
    <x v="0"/>
    <n v="1"/>
    <n v="1"/>
    <n v="1"/>
    <n v="0"/>
    <n v="0"/>
    <n v="3"/>
    <n v="0"/>
    <m/>
    <n v="55.7"/>
  </r>
  <r>
    <x v="692"/>
    <d v="2025-03-21T00:00:00"/>
    <x v="1"/>
    <s v="North"/>
    <s v="Mobile"/>
    <s v="Organic"/>
    <x v="1"/>
    <n v="1"/>
    <n v="1"/>
    <n v="1"/>
    <n v="0"/>
    <n v="0"/>
    <n v="0"/>
    <n v="0"/>
    <m/>
    <n v="82.8"/>
  </r>
  <r>
    <x v="693"/>
    <d v="2025-03-27T00:00:00"/>
    <x v="1"/>
    <s v="North"/>
    <s v="Desktop"/>
    <s v="Social"/>
    <x v="1"/>
    <n v="1"/>
    <n v="0"/>
    <n v="0"/>
    <n v="0"/>
    <n v="0"/>
    <n v="0"/>
    <n v="0"/>
    <m/>
    <m/>
  </r>
  <r>
    <x v="694"/>
    <d v="2025-01-21T00:00:00"/>
    <x v="1"/>
    <s v="South"/>
    <s v="Mobile"/>
    <s v="Paid Search"/>
    <x v="1"/>
    <n v="0"/>
    <n v="0"/>
    <n v="0"/>
    <n v="0"/>
    <n v="0"/>
    <n v="0"/>
    <n v="0"/>
    <m/>
    <n v="34.4"/>
  </r>
  <r>
    <x v="695"/>
    <d v="2025-03-19T00:00:00"/>
    <x v="1"/>
    <s v="East"/>
    <s v="Desktop"/>
    <s v="Email"/>
    <x v="1"/>
    <n v="1"/>
    <n v="0"/>
    <n v="0"/>
    <n v="0"/>
    <n v="0"/>
    <n v="0"/>
    <n v="0"/>
    <m/>
    <n v="45.2"/>
  </r>
  <r>
    <x v="696"/>
    <d v="2025-05-27T00:00:00"/>
    <x v="1"/>
    <s v="North"/>
    <s v="Mobile"/>
    <s v="Organic"/>
    <x v="0"/>
    <n v="1"/>
    <n v="0"/>
    <n v="0"/>
    <n v="0"/>
    <n v="0"/>
    <n v="0"/>
    <n v="0"/>
    <m/>
    <n v="71.599999999999994"/>
  </r>
  <r>
    <x v="697"/>
    <d v="2025-01-01T00:00:00"/>
    <x v="1"/>
    <s v="North"/>
    <s v="Mobile"/>
    <s v="Social"/>
    <x v="1"/>
    <n v="1"/>
    <n v="1"/>
    <n v="1"/>
    <n v="0"/>
    <n v="0"/>
    <n v="0"/>
    <n v="0"/>
    <m/>
    <n v="69.099999999999994"/>
  </r>
  <r>
    <x v="698"/>
    <d v="2025-03-29T00:00:00"/>
    <x v="1"/>
    <s v="West"/>
    <s v="Desktop"/>
    <s v="Paid Search"/>
    <x v="2"/>
    <n v="1"/>
    <n v="0"/>
    <n v="0"/>
    <n v="0"/>
    <n v="0"/>
    <n v="1"/>
    <n v="0"/>
    <m/>
    <n v="37.700000000000003"/>
  </r>
  <r>
    <x v="699"/>
    <d v="2025-03-17T00:00:00"/>
    <x v="1"/>
    <s v="West"/>
    <s v="Desktop"/>
    <s v="Organic"/>
    <x v="0"/>
    <n v="1"/>
    <n v="0"/>
    <n v="0"/>
    <n v="0"/>
    <n v="0"/>
    <n v="1"/>
    <n v="0"/>
    <m/>
    <n v="60.8"/>
  </r>
  <r>
    <x v="700"/>
    <d v="2025-05-05T00:00:00"/>
    <x v="1"/>
    <s v="North"/>
    <s v="Mobile"/>
    <s v="Organic"/>
    <x v="1"/>
    <n v="1"/>
    <n v="1"/>
    <n v="1"/>
    <n v="1"/>
    <n v="444.13"/>
    <n v="0"/>
    <n v="0"/>
    <n v="10"/>
    <n v="80.7"/>
  </r>
  <r>
    <x v="701"/>
    <d v="2025-05-04T00:00:00"/>
    <x v="1"/>
    <s v="South"/>
    <s v="Mobile"/>
    <s v="Social"/>
    <x v="1"/>
    <n v="1"/>
    <n v="0"/>
    <n v="0"/>
    <n v="0"/>
    <n v="0"/>
    <n v="0"/>
    <n v="0"/>
    <m/>
    <n v="69.2"/>
  </r>
  <r>
    <x v="702"/>
    <d v="2025-03-25T00:00:00"/>
    <x v="1"/>
    <s v="North"/>
    <s v="Mobile"/>
    <s v="Social"/>
    <x v="2"/>
    <n v="0"/>
    <n v="0"/>
    <n v="0"/>
    <n v="0"/>
    <n v="0"/>
    <n v="3"/>
    <n v="0"/>
    <m/>
    <n v="55"/>
  </r>
  <r>
    <x v="703"/>
    <d v="2025-04-17T00:00:00"/>
    <x v="1"/>
    <s v="West"/>
    <s v="Mobile"/>
    <s v="Email"/>
    <x v="1"/>
    <n v="0"/>
    <n v="0"/>
    <n v="0"/>
    <n v="0"/>
    <n v="0"/>
    <n v="1"/>
    <n v="0"/>
    <m/>
    <n v="73.599999999999994"/>
  </r>
  <r>
    <x v="704"/>
    <d v="2025-05-23T00:00:00"/>
    <x v="1"/>
    <s v="South"/>
    <s v="Mobile"/>
    <s v="Referral"/>
    <x v="0"/>
    <n v="1"/>
    <n v="1"/>
    <n v="1"/>
    <n v="0"/>
    <n v="0"/>
    <n v="1"/>
    <n v="0"/>
    <m/>
    <n v="47.3"/>
  </r>
  <r>
    <x v="705"/>
    <d v="2025-01-13T00:00:00"/>
    <x v="1"/>
    <s v="North"/>
    <s v="Mobile"/>
    <s v="Organic"/>
    <x v="0"/>
    <n v="0"/>
    <n v="0"/>
    <n v="0"/>
    <n v="0"/>
    <n v="0"/>
    <n v="0"/>
    <n v="0"/>
    <m/>
    <n v="43.6"/>
  </r>
  <r>
    <x v="706"/>
    <d v="2025-01-29T00:00:00"/>
    <x v="1"/>
    <s v="North"/>
    <s v="Desktop"/>
    <s v="Organic"/>
    <x v="0"/>
    <n v="1"/>
    <n v="0"/>
    <n v="0"/>
    <n v="0"/>
    <n v="0"/>
    <n v="0"/>
    <n v="0"/>
    <m/>
    <m/>
  </r>
  <r>
    <x v="707"/>
    <d v="2025-05-11T00:00:00"/>
    <x v="1"/>
    <s v="South"/>
    <s v="Mobile"/>
    <s v="Email"/>
    <x v="1"/>
    <n v="0"/>
    <n v="0"/>
    <n v="0"/>
    <n v="0"/>
    <n v="0"/>
    <n v="0"/>
    <n v="0"/>
    <m/>
    <n v="55.2"/>
  </r>
  <r>
    <x v="708"/>
    <d v="2025-04-22T00:00:00"/>
    <x v="1"/>
    <s v="South"/>
    <s v="Mobile"/>
    <s v="Organic"/>
    <x v="0"/>
    <n v="1"/>
    <n v="0"/>
    <n v="0"/>
    <n v="0"/>
    <n v="0"/>
    <n v="0"/>
    <n v="0"/>
    <m/>
    <n v="49.4"/>
  </r>
  <r>
    <x v="709"/>
    <d v="2025-03-03T00:00:00"/>
    <x v="1"/>
    <s v="South"/>
    <s v="Mobile"/>
    <s v="Social"/>
    <x v="1"/>
    <n v="1"/>
    <n v="1"/>
    <n v="1"/>
    <n v="0"/>
    <n v="0"/>
    <n v="1"/>
    <n v="0"/>
    <m/>
    <n v="60.1"/>
  </r>
  <r>
    <x v="710"/>
    <d v="2025-03-18T00:00:00"/>
    <x v="1"/>
    <s v="North"/>
    <s v="Mobile"/>
    <s v="Referral"/>
    <x v="1"/>
    <n v="1"/>
    <n v="0"/>
    <n v="0"/>
    <n v="0"/>
    <n v="0"/>
    <n v="0"/>
    <n v="0"/>
    <m/>
    <n v="55.9"/>
  </r>
  <r>
    <x v="711"/>
    <d v="2025-04-05T00:00:00"/>
    <x v="1"/>
    <s v="North"/>
    <s v="Mobile"/>
    <s v="Organic"/>
    <x v="0"/>
    <n v="1"/>
    <n v="0"/>
    <n v="0"/>
    <n v="0"/>
    <n v="0"/>
    <n v="0"/>
    <n v="0"/>
    <m/>
    <n v="51.5"/>
  </r>
  <r>
    <x v="712"/>
    <d v="2025-04-16T00:00:00"/>
    <x v="1"/>
    <s v="East"/>
    <s v="Mobile"/>
    <s v="Organic"/>
    <x v="1"/>
    <n v="1"/>
    <n v="1"/>
    <n v="1"/>
    <n v="1"/>
    <n v="516.66999999999996"/>
    <n v="0"/>
    <n v="0"/>
    <n v="11"/>
    <n v="57.9"/>
  </r>
  <r>
    <x v="713"/>
    <d v="2025-04-20T00:00:00"/>
    <x v="1"/>
    <s v="South"/>
    <s v="Mobile"/>
    <s v="Referral"/>
    <x v="1"/>
    <n v="1"/>
    <n v="1"/>
    <n v="1"/>
    <n v="1"/>
    <n v="277.18"/>
    <n v="2"/>
    <n v="0"/>
    <n v="8"/>
    <n v="59.2"/>
  </r>
  <r>
    <x v="714"/>
    <d v="2025-02-15T00:00:00"/>
    <x v="1"/>
    <s v="South"/>
    <s v="Mobile"/>
    <s v="Organic"/>
    <x v="1"/>
    <n v="0"/>
    <n v="0"/>
    <n v="0"/>
    <n v="0"/>
    <n v="0"/>
    <n v="0"/>
    <n v="0"/>
    <m/>
    <n v="64.2"/>
  </r>
  <r>
    <x v="715"/>
    <d v="2025-01-21T00:00:00"/>
    <x v="1"/>
    <s v="South"/>
    <s v="Mobile"/>
    <s v="Organic"/>
    <x v="1"/>
    <n v="1"/>
    <n v="0"/>
    <n v="0"/>
    <n v="0"/>
    <n v="0"/>
    <n v="0"/>
    <n v="0"/>
    <m/>
    <n v="68.8"/>
  </r>
  <r>
    <x v="716"/>
    <d v="2025-05-23T00:00:00"/>
    <x v="1"/>
    <s v="North"/>
    <s v="Mobile"/>
    <s v="Paid Search"/>
    <x v="2"/>
    <n v="1"/>
    <n v="1"/>
    <n v="1"/>
    <n v="0"/>
    <n v="0"/>
    <n v="0"/>
    <n v="0"/>
    <m/>
    <n v="77.900000000000006"/>
  </r>
  <r>
    <x v="717"/>
    <d v="2025-01-22T00:00:00"/>
    <x v="1"/>
    <s v="West"/>
    <s v="Mobile"/>
    <s v="Paid Search"/>
    <x v="0"/>
    <n v="0"/>
    <n v="0"/>
    <n v="0"/>
    <n v="0"/>
    <n v="0"/>
    <n v="0"/>
    <n v="0"/>
    <m/>
    <n v="92.1"/>
  </r>
  <r>
    <x v="718"/>
    <d v="2025-04-24T00:00:00"/>
    <x v="1"/>
    <s v="West"/>
    <s v="Mobile"/>
    <s v="Paid Search"/>
    <x v="2"/>
    <n v="0"/>
    <n v="0"/>
    <n v="0"/>
    <n v="0"/>
    <n v="0"/>
    <n v="0"/>
    <n v="0"/>
    <m/>
    <n v="63.6"/>
  </r>
  <r>
    <x v="719"/>
    <d v="2025-01-17T00:00:00"/>
    <x v="1"/>
    <s v="West"/>
    <s v="Desktop"/>
    <s v="Email"/>
    <x v="1"/>
    <n v="0"/>
    <n v="0"/>
    <n v="0"/>
    <n v="0"/>
    <n v="0"/>
    <n v="2"/>
    <n v="0"/>
    <m/>
    <n v="61.6"/>
  </r>
  <r>
    <x v="720"/>
    <d v="2025-01-22T00:00:00"/>
    <x v="1"/>
    <s v="East"/>
    <s v="Mobile"/>
    <s v="Referral"/>
    <x v="0"/>
    <n v="1"/>
    <n v="1"/>
    <n v="0"/>
    <n v="0"/>
    <n v="0"/>
    <n v="0"/>
    <n v="0"/>
    <m/>
    <n v="82.3"/>
  </r>
  <r>
    <x v="721"/>
    <d v="2025-05-04T00:00:00"/>
    <x v="1"/>
    <s v="East"/>
    <s v="Desktop"/>
    <s v="Paid Search"/>
    <x v="1"/>
    <n v="1"/>
    <n v="0"/>
    <n v="0"/>
    <n v="0"/>
    <n v="0"/>
    <n v="0"/>
    <n v="0"/>
    <m/>
    <n v="79.3"/>
  </r>
  <r>
    <x v="722"/>
    <d v="2025-03-13T00:00:00"/>
    <x v="1"/>
    <s v="South"/>
    <s v="Mobile"/>
    <m/>
    <x v="1"/>
    <n v="0"/>
    <n v="0"/>
    <n v="0"/>
    <n v="0"/>
    <n v="0"/>
    <n v="0"/>
    <n v="0"/>
    <m/>
    <n v="57.7"/>
  </r>
  <r>
    <x v="723"/>
    <d v="2025-01-02T00:00:00"/>
    <x v="1"/>
    <s v="North"/>
    <s v="Mobile"/>
    <s v="Organic"/>
    <x v="0"/>
    <n v="1"/>
    <n v="0"/>
    <n v="0"/>
    <n v="0"/>
    <n v="0"/>
    <n v="0"/>
    <n v="0"/>
    <m/>
    <n v="63.1"/>
  </r>
  <r>
    <x v="724"/>
    <d v="2025-01-13T00:00:00"/>
    <x v="1"/>
    <s v="East"/>
    <s v="Mobile"/>
    <s v="Paid Search"/>
    <x v="0"/>
    <n v="0"/>
    <n v="0"/>
    <n v="0"/>
    <n v="0"/>
    <n v="0"/>
    <n v="0"/>
    <n v="0"/>
    <m/>
    <n v="72.3"/>
  </r>
  <r>
    <x v="725"/>
    <d v="2025-02-09T00:00:00"/>
    <x v="1"/>
    <s v="East"/>
    <s v="Mobile"/>
    <s v="Social"/>
    <x v="1"/>
    <n v="1"/>
    <n v="1"/>
    <n v="1"/>
    <n v="0"/>
    <n v="0"/>
    <n v="0"/>
    <n v="0"/>
    <m/>
    <n v="78"/>
  </r>
  <r>
    <x v="726"/>
    <d v="2025-04-09T00:00:00"/>
    <x v="1"/>
    <s v="East"/>
    <s v="Desktop"/>
    <s v="Social"/>
    <x v="1"/>
    <n v="1"/>
    <n v="1"/>
    <n v="0"/>
    <n v="0"/>
    <n v="0"/>
    <n v="2"/>
    <n v="0"/>
    <m/>
    <n v="59.1"/>
  </r>
  <r>
    <x v="727"/>
    <d v="2025-01-02T00:00:00"/>
    <x v="1"/>
    <s v="South"/>
    <s v="Mobile"/>
    <s v="Paid Search"/>
    <x v="1"/>
    <n v="1"/>
    <n v="1"/>
    <n v="1"/>
    <n v="1"/>
    <n v="604.09"/>
    <n v="0"/>
    <n v="0"/>
    <n v="7"/>
    <n v="47.1"/>
  </r>
  <r>
    <x v="728"/>
    <d v="2025-02-04T00:00:00"/>
    <x v="1"/>
    <s v="South"/>
    <s v="Mobile"/>
    <m/>
    <x v="2"/>
    <n v="1"/>
    <n v="0"/>
    <n v="0"/>
    <n v="0"/>
    <n v="0"/>
    <n v="0"/>
    <n v="0"/>
    <m/>
    <n v="64.900000000000006"/>
  </r>
  <r>
    <x v="729"/>
    <d v="2025-02-19T00:00:00"/>
    <x v="1"/>
    <s v="South"/>
    <s v="Tablet"/>
    <s v="Paid Search"/>
    <x v="1"/>
    <n v="0"/>
    <n v="0"/>
    <n v="0"/>
    <n v="0"/>
    <n v="0"/>
    <n v="0"/>
    <n v="0"/>
    <m/>
    <n v="67.3"/>
  </r>
  <r>
    <x v="730"/>
    <d v="2025-04-01T00:00:00"/>
    <x v="1"/>
    <s v="East"/>
    <s v="Mobile"/>
    <s v="Paid Search"/>
    <x v="0"/>
    <n v="1"/>
    <n v="0"/>
    <n v="0"/>
    <n v="0"/>
    <n v="0"/>
    <n v="2"/>
    <n v="0"/>
    <m/>
    <n v="52.9"/>
  </r>
  <r>
    <x v="731"/>
    <d v="2025-01-29T00:00:00"/>
    <x v="1"/>
    <s v="North"/>
    <s v="Mobile"/>
    <s v="Referral"/>
    <x v="1"/>
    <n v="1"/>
    <n v="1"/>
    <n v="1"/>
    <n v="1"/>
    <n v="442.37"/>
    <n v="1"/>
    <n v="0"/>
    <n v="4"/>
    <n v="69.900000000000006"/>
  </r>
  <r>
    <x v="732"/>
    <d v="2025-05-18T00:00:00"/>
    <x v="1"/>
    <s v="North"/>
    <s v="Mobile"/>
    <s v="Referral"/>
    <x v="0"/>
    <n v="1"/>
    <n v="1"/>
    <n v="1"/>
    <n v="0"/>
    <n v="0"/>
    <n v="0"/>
    <n v="0"/>
    <m/>
    <n v="78.900000000000006"/>
  </r>
  <r>
    <x v="733"/>
    <d v="2025-04-15T00:00:00"/>
    <x v="1"/>
    <s v="East"/>
    <s v="Desktop"/>
    <s v="Social"/>
    <x v="2"/>
    <n v="1"/>
    <n v="1"/>
    <n v="0"/>
    <n v="0"/>
    <n v="0"/>
    <n v="0"/>
    <n v="0"/>
    <m/>
    <n v="83.3"/>
  </r>
  <r>
    <x v="734"/>
    <d v="2025-03-28T00:00:00"/>
    <x v="1"/>
    <s v="East"/>
    <s v="Desktop"/>
    <s v="Email"/>
    <x v="1"/>
    <n v="1"/>
    <n v="0"/>
    <n v="0"/>
    <n v="0"/>
    <n v="0"/>
    <n v="1"/>
    <n v="0"/>
    <m/>
    <n v="24.5"/>
  </r>
  <r>
    <x v="735"/>
    <d v="2025-04-01T00:00:00"/>
    <x v="1"/>
    <s v="West"/>
    <s v="Mobile"/>
    <s v="Paid Search"/>
    <x v="0"/>
    <n v="1"/>
    <n v="1"/>
    <n v="0"/>
    <n v="0"/>
    <n v="0"/>
    <n v="1"/>
    <n v="0"/>
    <m/>
    <n v="56.9"/>
  </r>
  <r>
    <x v="736"/>
    <d v="2025-02-11T00:00:00"/>
    <x v="1"/>
    <s v="West"/>
    <s v="Mobile"/>
    <s v="Social"/>
    <x v="0"/>
    <n v="1"/>
    <n v="0"/>
    <n v="0"/>
    <n v="0"/>
    <n v="0"/>
    <n v="0"/>
    <n v="0"/>
    <m/>
    <n v="69.900000000000006"/>
  </r>
  <r>
    <x v="737"/>
    <d v="2025-03-04T00:00:00"/>
    <x v="1"/>
    <s v="South"/>
    <s v="Mobile"/>
    <s v="Organic"/>
    <x v="1"/>
    <n v="1"/>
    <n v="1"/>
    <n v="1"/>
    <n v="0"/>
    <n v="0"/>
    <n v="0"/>
    <n v="0"/>
    <m/>
    <n v="81.5"/>
  </r>
  <r>
    <x v="738"/>
    <d v="2025-01-21T00:00:00"/>
    <x v="1"/>
    <s v="North"/>
    <s v="Tablet"/>
    <s v="Social"/>
    <x v="0"/>
    <n v="0"/>
    <n v="0"/>
    <n v="0"/>
    <n v="0"/>
    <n v="0"/>
    <n v="2"/>
    <n v="0"/>
    <m/>
    <n v="37.9"/>
  </r>
  <r>
    <x v="739"/>
    <d v="2025-02-14T00:00:00"/>
    <x v="1"/>
    <s v="North"/>
    <s v="Mobile"/>
    <s v="Referral"/>
    <x v="1"/>
    <n v="0"/>
    <n v="0"/>
    <n v="0"/>
    <n v="0"/>
    <n v="0"/>
    <n v="1"/>
    <n v="0"/>
    <m/>
    <n v="61.7"/>
  </r>
  <r>
    <x v="740"/>
    <d v="2025-03-30T00:00:00"/>
    <x v="1"/>
    <s v="North"/>
    <s v="Desktop"/>
    <m/>
    <x v="2"/>
    <n v="1"/>
    <n v="0"/>
    <n v="0"/>
    <n v="0"/>
    <n v="0"/>
    <n v="2"/>
    <n v="0"/>
    <m/>
    <n v="53.2"/>
  </r>
  <r>
    <x v="741"/>
    <d v="2025-01-08T00:00:00"/>
    <x v="1"/>
    <s v="North"/>
    <s v="Mobile"/>
    <s v="Referral"/>
    <x v="1"/>
    <n v="0"/>
    <n v="0"/>
    <n v="0"/>
    <n v="0"/>
    <n v="0"/>
    <n v="0"/>
    <n v="0"/>
    <m/>
    <n v="61.9"/>
  </r>
  <r>
    <x v="742"/>
    <d v="2025-02-07T00:00:00"/>
    <x v="1"/>
    <s v="North"/>
    <s v="Mobile"/>
    <s v="Social"/>
    <x v="1"/>
    <n v="1"/>
    <n v="1"/>
    <n v="1"/>
    <n v="0"/>
    <n v="0"/>
    <n v="0"/>
    <n v="0"/>
    <m/>
    <n v="68.900000000000006"/>
  </r>
  <r>
    <x v="743"/>
    <d v="2025-02-01T00:00:00"/>
    <x v="1"/>
    <s v="North"/>
    <s v="Tablet"/>
    <s v="Paid Search"/>
    <x v="0"/>
    <n v="0"/>
    <n v="0"/>
    <n v="0"/>
    <n v="0"/>
    <n v="0"/>
    <n v="0"/>
    <n v="0"/>
    <m/>
    <n v="66.3"/>
  </r>
  <r>
    <x v="744"/>
    <d v="2025-01-04T00:00:00"/>
    <x v="1"/>
    <s v="East"/>
    <s v="Mobile"/>
    <s v="Email"/>
    <x v="1"/>
    <n v="1"/>
    <n v="1"/>
    <n v="1"/>
    <n v="0"/>
    <n v="0"/>
    <n v="0"/>
    <n v="0"/>
    <m/>
    <n v="54.6"/>
  </r>
  <r>
    <x v="745"/>
    <d v="2025-05-16T00:00:00"/>
    <x v="1"/>
    <s v="South"/>
    <s v="Desktop"/>
    <s v="Referral"/>
    <x v="1"/>
    <n v="0"/>
    <n v="0"/>
    <n v="0"/>
    <n v="0"/>
    <n v="0"/>
    <n v="0"/>
    <n v="0"/>
    <m/>
    <n v="53.8"/>
  </r>
  <r>
    <x v="746"/>
    <d v="2025-02-28T00:00:00"/>
    <x v="1"/>
    <s v="West"/>
    <s v="Mobile"/>
    <s v="Referral"/>
    <x v="1"/>
    <n v="1"/>
    <n v="0"/>
    <n v="0"/>
    <n v="0"/>
    <n v="0"/>
    <n v="0"/>
    <n v="0"/>
    <m/>
    <n v="59.5"/>
  </r>
  <r>
    <x v="747"/>
    <d v="2025-04-12T00:00:00"/>
    <x v="1"/>
    <s v="North"/>
    <s v="Mobile"/>
    <s v="Referral"/>
    <x v="1"/>
    <n v="1"/>
    <n v="0"/>
    <n v="0"/>
    <n v="0"/>
    <n v="0"/>
    <n v="0"/>
    <n v="0"/>
    <m/>
    <n v="52.6"/>
  </r>
  <r>
    <x v="748"/>
    <d v="2025-03-23T00:00:00"/>
    <x v="1"/>
    <s v="South"/>
    <s v="Desktop"/>
    <s v="Organic"/>
    <x v="1"/>
    <n v="0"/>
    <n v="0"/>
    <n v="0"/>
    <n v="0"/>
    <n v="0"/>
    <n v="0"/>
    <n v="0"/>
    <m/>
    <n v="49"/>
  </r>
  <r>
    <x v="749"/>
    <d v="2025-05-29T00:00:00"/>
    <x v="1"/>
    <s v="North"/>
    <s v="Tablet"/>
    <s v="Organic"/>
    <x v="1"/>
    <n v="1"/>
    <n v="0"/>
    <n v="0"/>
    <n v="0"/>
    <n v="0"/>
    <n v="0"/>
    <n v="0"/>
    <m/>
    <n v="59.3"/>
  </r>
  <r>
    <x v="750"/>
    <d v="2025-05-21T00:00:00"/>
    <x v="1"/>
    <s v="South"/>
    <s v="Desktop"/>
    <s v="Organic"/>
    <x v="0"/>
    <n v="0"/>
    <n v="0"/>
    <n v="0"/>
    <n v="0"/>
    <n v="0"/>
    <n v="0"/>
    <n v="0"/>
    <m/>
    <n v="67.2"/>
  </r>
  <r>
    <x v="751"/>
    <d v="2025-01-05T00:00:00"/>
    <x v="1"/>
    <s v="South"/>
    <s v="Mobile"/>
    <s v="Referral"/>
    <x v="2"/>
    <n v="0"/>
    <n v="0"/>
    <n v="0"/>
    <n v="0"/>
    <n v="0"/>
    <n v="0"/>
    <n v="0"/>
    <m/>
    <n v="73.5"/>
  </r>
  <r>
    <x v="752"/>
    <d v="2025-03-19T00:00:00"/>
    <x v="1"/>
    <s v="East"/>
    <s v="Tablet"/>
    <s v="Organic"/>
    <x v="1"/>
    <n v="1"/>
    <n v="0"/>
    <n v="0"/>
    <n v="0"/>
    <n v="0"/>
    <n v="0"/>
    <n v="0"/>
    <m/>
    <n v="61.2"/>
  </r>
  <r>
    <x v="753"/>
    <d v="2025-04-24T00:00:00"/>
    <x v="1"/>
    <s v="East"/>
    <s v="Mobile"/>
    <s v="Organic"/>
    <x v="1"/>
    <n v="1"/>
    <n v="0"/>
    <n v="0"/>
    <n v="0"/>
    <n v="0"/>
    <n v="1"/>
    <n v="0"/>
    <m/>
    <n v="56.4"/>
  </r>
  <r>
    <x v="754"/>
    <d v="2025-03-10T00:00:00"/>
    <x v="1"/>
    <s v="North"/>
    <s v="Tablet"/>
    <s v="Organic"/>
    <x v="1"/>
    <n v="0"/>
    <n v="0"/>
    <n v="0"/>
    <n v="0"/>
    <n v="0"/>
    <n v="3"/>
    <n v="0"/>
    <m/>
    <n v="72.599999999999994"/>
  </r>
  <r>
    <x v="755"/>
    <d v="2025-02-22T00:00:00"/>
    <x v="1"/>
    <s v="South"/>
    <s v="Tablet"/>
    <s v="Referral"/>
    <x v="0"/>
    <n v="1"/>
    <n v="0"/>
    <n v="0"/>
    <n v="0"/>
    <n v="0"/>
    <n v="0"/>
    <n v="0"/>
    <m/>
    <n v="61.7"/>
  </r>
  <r>
    <x v="756"/>
    <d v="2025-05-17T00:00:00"/>
    <x v="1"/>
    <s v="East"/>
    <s v="Mobile"/>
    <s v="Social"/>
    <x v="1"/>
    <n v="0"/>
    <n v="0"/>
    <n v="0"/>
    <n v="0"/>
    <n v="0"/>
    <n v="1"/>
    <n v="0"/>
    <m/>
    <n v="66.900000000000006"/>
  </r>
  <r>
    <x v="757"/>
    <d v="2025-05-09T00:00:00"/>
    <x v="1"/>
    <s v="East"/>
    <s v="Tablet"/>
    <s v="Referral"/>
    <x v="2"/>
    <n v="1"/>
    <n v="1"/>
    <n v="1"/>
    <n v="1"/>
    <n v="1506.24"/>
    <n v="1"/>
    <n v="0"/>
    <n v="7"/>
    <n v="64.900000000000006"/>
  </r>
  <r>
    <x v="758"/>
    <d v="2025-04-26T00:00:00"/>
    <x v="1"/>
    <s v="East"/>
    <s v="Tablet"/>
    <s v="Organic"/>
    <x v="2"/>
    <n v="1"/>
    <n v="0"/>
    <n v="0"/>
    <n v="0"/>
    <n v="0"/>
    <n v="0"/>
    <n v="0"/>
    <m/>
    <n v="57.5"/>
  </r>
  <r>
    <x v="759"/>
    <d v="2025-03-15T00:00:00"/>
    <x v="1"/>
    <s v="West"/>
    <s v="Desktop"/>
    <s v="Social"/>
    <x v="1"/>
    <n v="1"/>
    <n v="1"/>
    <n v="1"/>
    <n v="0"/>
    <n v="0"/>
    <n v="0"/>
    <n v="0"/>
    <m/>
    <n v="76.3"/>
  </r>
  <r>
    <x v="760"/>
    <d v="2025-04-03T00:00:00"/>
    <x v="1"/>
    <s v="North"/>
    <s v="Mobile"/>
    <s v="Paid Search"/>
    <x v="1"/>
    <n v="0"/>
    <n v="0"/>
    <n v="0"/>
    <n v="0"/>
    <n v="0"/>
    <n v="0"/>
    <n v="0"/>
    <m/>
    <n v="47.5"/>
  </r>
  <r>
    <x v="761"/>
    <d v="2025-03-26T00:00:00"/>
    <x v="1"/>
    <s v="South"/>
    <s v="Mobile"/>
    <s v="Paid Search"/>
    <x v="1"/>
    <n v="0"/>
    <n v="0"/>
    <n v="0"/>
    <n v="0"/>
    <n v="0"/>
    <n v="0"/>
    <n v="0"/>
    <m/>
    <m/>
  </r>
  <r>
    <x v="762"/>
    <d v="2025-02-05T00:00:00"/>
    <x v="1"/>
    <s v="West"/>
    <s v="Desktop"/>
    <s v="Organic"/>
    <x v="0"/>
    <n v="1"/>
    <n v="1"/>
    <n v="0"/>
    <n v="0"/>
    <n v="0"/>
    <n v="2"/>
    <n v="0"/>
    <m/>
    <n v="71.599999999999994"/>
  </r>
  <r>
    <x v="763"/>
    <d v="2025-05-08T00:00:00"/>
    <x v="1"/>
    <s v="South"/>
    <s v="Mobile"/>
    <s v="Social"/>
    <x v="0"/>
    <n v="1"/>
    <n v="1"/>
    <n v="0"/>
    <n v="0"/>
    <n v="0"/>
    <n v="0"/>
    <n v="0"/>
    <m/>
    <n v="55.8"/>
  </r>
  <r>
    <x v="764"/>
    <d v="2025-03-25T00:00:00"/>
    <x v="1"/>
    <s v="South"/>
    <s v="Desktop"/>
    <s v="Organic"/>
    <x v="0"/>
    <n v="0"/>
    <n v="0"/>
    <n v="0"/>
    <n v="0"/>
    <n v="0"/>
    <n v="1"/>
    <n v="0"/>
    <m/>
    <n v="60.1"/>
  </r>
  <r>
    <x v="765"/>
    <d v="2025-01-14T00:00:00"/>
    <x v="1"/>
    <s v="West"/>
    <m/>
    <s v="Email"/>
    <x v="0"/>
    <n v="1"/>
    <n v="1"/>
    <n v="1"/>
    <n v="0"/>
    <n v="0"/>
    <n v="1"/>
    <n v="0"/>
    <m/>
    <n v="59.3"/>
  </r>
  <r>
    <x v="766"/>
    <d v="2025-03-26T00:00:00"/>
    <x v="1"/>
    <s v="North"/>
    <s v="Mobile"/>
    <s v="Organic"/>
    <x v="1"/>
    <n v="1"/>
    <n v="1"/>
    <n v="0"/>
    <n v="0"/>
    <n v="0"/>
    <n v="2"/>
    <n v="0"/>
    <m/>
    <n v="49.3"/>
  </r>
  <r>
    <x v="767"/>
    <d v="2025-01-16T00:00:00"/>
    <x v="1"/>
    <s v="East"/>
    <s v="Mobile"/>
    <s v="Referral"/>
    <x v="1"/>
    <n v="1"/>
    <n v="0"/>
    <n v="0"/>
    <n v="0"/>
    <n v="0"/>
    <n v="0"/>
    <n v="0"/>
    <m/>
    <n v="75"/>
  </r>
  <r>
    <x v="768"/>
    <d v="2025-01-04T00:00:00"/>
    <x v="1"/>
    <s v="East"/>
    <s v="Mobile"/>
    <s v="Social"/>
    <x v="1"/>
    <n v="1"/>
    <n v="0"/>
    <n v="0"/>
    <n v="0"/>
    <n v="0"/>
    <n v="0"/>
    <n v="0"/>
    <m/>
    <n v="70.2"/>
  </r>
  <r>
    <x v="769"/>
    <d v="2025-02-09T00:00:00"/>
    <x v="1"/>
    <s v="South"/>
    <s v="Desktop"/>
    <s v="Organic"/>
    <x v="2"/>
    <n v="1"/>
    <n v="1"/>
    <n v="1"/>
    <n v="0"/>
    <n v="0"/>
    <n v="0"/>
    <n v="0"/>
    <m/>
    <n v="56.6"/>
  </r>
  <r>
    <x v="770"/>
    <d v="2025-03-05T00:00:00"/>
    <x v="1"/>
    <s v="East"/>
    <s v="Desktop"/>
    <s v="Organic"/>
    <x v="1"/>
    <n v="1"/>
    <n v="0"/>
    <n v="0"/>
    <n v="0"/>
    <n v="0"/>
    <n v="0"/>
    <n v="0"/>
    <m/>
    <n v="65.400000000000006"/>
  </r>
  <r>
    <x v="771"/>
    <d v="2025-03-10T00:00:00"/>
    <x v="1"/>
    <s v="East"/>
    <s v="Mobile"/>
    <s v="Referral"/>
    <x v="0"/>
    <n v="1"/>
    <n v="0"/>
    <n v="0"/>
    <n v="0"/>
    <n v="0"/>
    <n v="0"/>
    <n v="0"/>
    <m/>
    <n v="47.6"/>
  </r>
  <r>
    <x v="772"/>
    <d v="2025-02-27T00:00:00"/>
    <x v="1"/>
    <s v="East"/>
    <s v="Desktop"/>
    <s v="Paid Search"/>
    <x v="1"/>
    <n v="1"/>
    <n v="0"/>
    <n v="0"/>
    <n v="0"/>
    <n v="0"/>
    <n v="0"/>
    <n v="0"/>
    <m/>
    <n v="56.7"/>
  </r>
  <r>
    <x v="773"/>
    <d v="2025-03-10T00:00:00"/>
    <x v="1"/>
    <s v="North"/>
    <s v="Desktop"/>
    <s v="Referral"/>
    <x v="0"/>
    <n v="1"/>
    <n v="1"/>
    <n v="0"/>
    <n v="0"/>
    <n v="0"/>
    <n v="0"/>
    <n v="0"/>
    <m/>
    <n v="71.400000000000006"/>
  </r>
  <r>
    <x v="774"/>
    <d v="2025-04-23T00:00:00"/>
    <x v="1"/>
    <s v="West"/>
    <s v="Mobile"/>
    <s v="Social"/>
    <x v="1"/>
    <n v="0"/>
    <n v="0"/>
    <n v="0"/>
    <n v="0"/>
    <n v="0"/>
    <n v="2"/>
    <n v="0"/>
    <m/>
    <n v="60.5"/>
  </r>
  <r>
    <x v="775"/>
    <d v="2025-04-12T00:00:00"/>
    <x v="1"/>
    <s v="North"/>
    <s v="Desktop"/>
    <s v="Paid Search"/>
    <x v="1"/>
    <n v="1"/>
    <n v="0"/>
    <n v="0"/>
    <n v="0"/>
    <n v="0"/>
    <n v="0"/>
    <n v="0"/>
    <m/>
    <n v="46.7"/>
  </r>
  <r>
    <x v="776"/>
    <d v="2025-01-26T00:00:00"/>
    <x v="1"/>
    <s v="East"/>
    <s v="Desktop"/>
    <s v="Referral"/>
    <x v="1"/>
    <n v="0"/>
    <n v="0"/>
    <n v="0"/>
    <n v="0"/>
    <n v="0"/>
    <n v="0"/>
    <n v="0"/>
    <m/>
    <n v="61"/>
  </r>
  <r>
    <x v="777"/>
    <d v="2025-05-24T00:00:00"/>
    <x v="1"/>
    <s v="West"/>
    <s v="Tablet"/>
    <s v="Paid Search"/>
    <x v="1"/>
    <n v="0"/>
    <n v="0"/>
    <n v="0"/>
    <n v="0"/>
    <n v="0"/>
    <n v="0"/>
    <n v="0"/>
    <m/>
    <n v="60.9"/>
  </r>
  <r>
    <x v="778"/>
    <d v="2025-01-08T00:00:00"/>
    <x v="1"/>
    <s v="South"/>
    <s v="Mobile"/>
    <s v="Organic"/>
    <x v="1"/>
    <n v="1"/>
    <n v="0"/>
    <n v="0"/>
    <n v="0"/>
    <n v="0"/>
    <n v="0"/>
    <n v="0"/>
    <m/>
    <n v="67.099999999999994"/>
  </r>
  <r>
    <x v="779"/>
    <d v="2025-04-15T00:00:00"/>
    <x v="1"/>
    <s v="North"/>
    <s v="Mobile"/>
    <s v="Referral"/>
    <x v="1"/>
    <n v="1"/>
    <n v="1"/>
    <n v="0"/>
    <n v="0"/>
    <n v="0"/>
    <n v="0"/>
    <n v="0"/>
    <m/>
    <n v="59.6"/>
  </r>
  <r>
    <x v="780"/>
    <d v="2025-01-15T00:00:00"/>
    <x v="1"/>
    <s v="South"/>
    <s v="Desktop"/>
    <s v="Paid Search"/>
    <x v="1"/>
    <n v="1"/>
    <n v="0"/>
    <n v="0"/>
    <n v="0"/>
    <n v="0"/>
    <n v="0"/>
    <n v="0"/>
    <m/>
    <n v="83.8"/>
  </r>
  <r>
    <x v="781"/>
    <d v="2025-02-28T00:00:00"/>
    <x v="1"/>
    <s v="North"/>
    <s v="Mobile"/>
    <s v="Organic"/>
    <x v="0"/>
    <n v="1"/>
    <n v="1"/>
    <n v="1"/>
    <n v="0"/>
    <n v="0"/>
    <n v="0"/>
    <n v="0"/>
    <m/>
    <n v="70.8"/>
  </r>
  <r>
    <x v="782"/>
    <d v="2025-01-01T00:00:00"/>
    <x v="1"/>
    <s v="North"/>
    <s v="Tablet"/>
    <s v="Organic"/>
    <x v="0"/>
    <n v="0"/>
    <n v="0"/>
    <n v="0"/>
    <n v="0"/>
    <n v="0"/>
    <n v="0"/>
    <n v="0"/>
    <m/>
    <n v="65.900000000000006"/>
  </r>
  <r>
    <x v="783"/>
    <d v="2025-04-17T00:00:00"/>
    <x v="1"/>
    <s v="West"/>
    <s v="Mobile"/>
    <s v="Referral"/>
    <x v="1"/>
    <n v="1"/>
    <n v="0"/>
    <n v="0"/>
    <n v="0"/>
    <n v="0"/>
    <n v="0"/>
    <n v="0"/>
    <m/>
    <n v="58"/>
  </r>
  <r>
    <x v="784"/>
    <d v="2025-02-19T00:00:00"/>
    <x v="1"/>
    <s v="North"/>
    <s v="Mobile"/>
    <s v="Email"/>
    <x v="0"/>
    <n v="1"/>
    <n v="1"/>
    <n v="0"/>
    <n v="0"/>
    <n v="0"/>
    <n v="0"/>
    <n v="0"/>
    <m/>
    <n v="80.3"/>
  </r>
  <r>
    <x v="785"/>
    <d v="2025-03-14T00:00:00"/>
    <x v="1"/>
    <s v="North"/>
    <s v="Desktop"/>
    <s v="Organic"/>
    <x v="1"/>
    <n v="1"/>
    <n v="0"/>
    <n v="0"/>
    <n v="0"/>
    <n v="0"/>
    <n v="0"/>
    <n v="0"/>
    <m/>
    <n v="55.7"/>
  </r>
  <r>
    <x v="786"/>
    <d v="2025-04-21T00:00:00"/>
    <x v="1"/>
    <s v="North"/>
    <s v="Mobile"/>
    <s v="Organic"/>
    <x v="1"/>
    <n v="1"/>
    <n v="1"/>
    <n v="0"/>
    <n v="0"/>
    <n v="0"/>
    <n v="0"/>
    <n v="0"/>
    <m/>
    <n v="84.9"/>
  </r>
  <r>
    <x v="787"/>
    <d v="2025-02-14T00:00:00"/>
    <x v="1"/>
    <s v="North"/>
    <s v="Mobile"/>
    <s v="Organic"/>
    <x v="1"/>
    <n v="1"/>
    <n v="0"/>
    <n v="0"/>
    <n v="0"/>
    <n v="0"/>
    <n v="0"/>
    <n v="0"/>
    <m/>
    <n v="63.3"/>
  </r>
  <r>
    <x v="788"/>
    <d v="2025-05-30T00:00:00"/>
    <x v="1"/>
    <s v="West"/>
    <s v="Mobile"/>
    <s v="Organic"/>
    <x v="1"/>
    <n v="0"/>
    <n v="0"/>
    <n v="0"/>
    <n v="0"/>
    <n v="0"/>
    <n v="0"/>
    <n v="0"/>
    <m/>
    <n v="53.1"/>
  </r>
  <r>
    <x v="789"/>
    <d v="2025-01-20T00:00:00"/>
    <x v="1"/>
    <s v="West"/>
    <s v="Mobile"/>
    <s v="Organic"/>
    <x v="1"/>
    <n v="0"/>
    <n v="0"/>
    <n v="0"/>
    <n v="0"/>
    <n v="0"/>
    <n v="0"/>
    <n v="0"/>
    <m/>
    <n v="66"/>
  </r>
  <r>
    <x v="790"/>
    <d v="2025-03-17T00:00:00"/>
    <x v="1"/>
    <s v="West"/>
    <s v="Mobile"/>
    <s v="Social"/>
    <x v="2"/>
    <n v="0"/>
    <n v="0"/>
    <n v="0"/>
    <n v="0"/>
    <n v="0"/>
    <n v="0"/>
    <n v="0"/>
    <m/>
    <n v="54.7"/>
  </r>
  <r>
    <x v="791"/>
    <d v="2025-03-04T00:00:00"/>
    <x v="1"/>
    <s v="West"/>
    <s v="Mobile"/>
    <s v="Social"/>
    <x v="1"/>
    <n v="1"/>
    <n v="1"/>
    <n v="0"/>
    <n v="0"/>
    <n v="0"/>
    <n v="1"/>
    <n v="0"/>
    <m/>
    <n v="41.2"/>
  </r>
  <r>
    <x v="792"/>
    <d v="2025-02-22T00:00:00"/>
    <x v="1"/>
    <s v="South"/>
    <s v="Mobile"/>
    <s v="Organic"/>
    <x v="2"/>
    <n v="0"/>
    <n v="0"/>
    <n v="0"/>
    <n v="0"/>
    <n v="0"/>
    <n v="0"/>
    <n v="0"/>
    <m/>
    <n v="66.7"/>
  </r>
  <r>
    <x v="793"/>
    <d v="2025-05-02T00:00:00"/>
    <x v="1"/>
    <s v="North"/>
    <s v="Mobile"/>
    <s v="Paid Search"/>
    <x v="2"/>
    <n v="0"/>
    <n v="0"/>
    <n v="0"/>
    <n v="0"/>
    <n v="0"/>
    <n v="0"/>
    <n v="0"/>
    <m/>
    <n v="39.4"/>
  </r>
  <r>
    <x v="794"/>
    <d v="2025-03-13T00:00:00"/>
    <x v="1"/>
    <s v="West"/>
    <s v="Desktop"/>
    <s v="Organic"/>
    <x v="2"/>
    <n v="0"/>
    <n v="0"/>
    <n v="0"/>
    <n v="0"/>
    <n v="0"/>
    <n v="3"/>
    <n v="0"/>
    <m/>
    <n v="67"/>
  </r>
  <r>
    <x v="795"/>
    <d v="2025-05-31T00:00:00"/>
    <x v="1"/>
    <s v="South"/>
    <s v="Mobile"/>
    <s v="Organic"/>
    <x v="0"/>
    <n v="1"/>
    <n v="0"/>
    <n v="0"/>
    <n v="0"/>
    <n v="0"/>
    <n v="0"/>
    <n v="0"/>
    <m/>
    <n v="50.4"/>
  </r>
  <r>
    <x v="796"/>
    <d v="2025-03-07T00:00:00"/>
    <x v="1"/>
    <s v="West"/>
    <s v="Desktop"/>
    <s v="Social"/>
    <x v="1"/>
    <n v="1"/>
    <n v="0"/>
    <n v="0"/>
    <n v="0"/>
    <n v="0"/>
    <n v="0"/>
    <n v="0"/>
    <m/>
    <n v="53.8"/>
  </r>
  <r>
    <x v="797"/>
    <d v="2025-02-22T00:00:00"/>
    <x v="1"/>
    <s v="West"/>
    <s v="Mobile"/>
    <s v="Paid Search"/>
    <x v="0"/>
    <n v="0"/>
    <n v="0"/>
    <n v="0"/>
    <n v="0"/>
    <n v="0"/>
    <n v="1"/>
    <n v="0"/>
    <m/>
    <n v="82.7"/>
  </r>
  <r>
    <x v="798"/>
    <d v="2025-01-05T00:00:00"/>
    <x v="1"/>
    <s v="West"/>
    <s v="Desktop"/>
    <s v="Paid Search"/>
    <x v="1"/>
    <n v="1"/>
    <n v="1"/>
    <n v="1"/>
    <n v="0"/>
    <n v="0"/>
    <n v="0"/>
    <n v="0"/>
    <m/>
    <n v="63.9"/>
  </r>
  <r>
    <x v="799"/>
    <d v="2025-01-21T00:00:00"/>
    <x v="1"/>
    <s v="West"/>
    <s v="Mobile"/>
    <s v="Referral"/>
    <x v="1"/>
    <n v="1"/>
    <n v="0"/>
    <n v="0"/>
    <n v="0"/>
    <n v="0"/>
    <n v="0"/>
    <n v="0"/>
    <m/>
    <n v="61.9"/>
  </r>
  <r>
    <x v="800"/>
    <d v="2025-01-25T00:00:00"/>
    <x v="1"/>
    <s v="North"/>
    <s v="Desktop"/>
    <s v="Social"/>
    <x v="1"/>
    <n v="1"/>
    <n v="1"/>
    <n v="1"/>
    <n v="0"/>
    <n v="0"/>
    <n v="0"/>
    <n v="0"/>
    <m/>
    <n v="75"/>
  </r>
  <r>
    <x v="801"/>
    <d v="2025-04-04T00:00:00"/>
    <x v="1"/>
    <s v="West"/>
    <s v="Mobile"/>
    <s v="Paid Search"/>
    <x v="0"/>
    <n v="1"/>
    <n v="1"/>
    <n v="1"/>
    <n v="0"/>
    <n v="0"/>
    <n v="0"/>
    <n v="0"/>
    <m/>
    <n v="43"/>
  </r>
  <r>
    <x v="802"/>
    <d v="2025-03-25T00:00:00"/>
    <x v="1"/>
    <s v="North"/>
    <s v="Desktop"/>
    <s v="Social"/>
    <x v="2"/>
    <n v="0"/>
    <n v="0"/>
    <n v="0"/>
    <n v="0"/>
    <n v="0"/>
    <n v="0"/>
    <n v="0"/>
    <m/>
    <n v="54.3"/>
  </r>
  <r>
    <x v="803"/>
    <d v="2025-03-19T00:00:00"/>
    <x v="1"/>
    <s v="West"/>
    <s v="Mobile"/>
    <s v="Social"/>
    <x v="1"/>
    <n v="0"/>
    <n v="0"/>
    <n v="0"/>
    <n v="0"/>
    <n v="0"/>
    <n v="2"/>
    <n v="0"/>
    <m/>
    <n v="44.3"/>
  </r>
  <r>
    <x v="804"/>
    <d v="2025-04-24T00:00:00"/>
    <x v="1"/>
    <s v="West"/>
    <s v="Desktop"/>
    <s v="Organic"/>
    <x v="1"/>
    <n v="1"/>
    <n v="1"/>
    <n v="1"/>
    <n v="1"/>
    <n v="402.88"/>
    <n v="0"/>
    <n v="0"/>
    <n v="12"/>
    <n v="76"/>
  </r>
  <r>
    <x v="805"/>
    <d v="2025-04-04T00:00:00"/>
    <x v="1"/>
    <s v="South"/>
    <s v="Tablet"/>
    <s v="Organic"/>
    <x v="1"/>
    <n v="1"/>
    <n v="0"/>
    <n v="0"/>
    <n v="0"/>
    <n v="0"/>
    <n v="2"/>
    <n v="0"/>
    <m/>
    <n v="65.3"/>
  </r>
  <r>
    <x v="806"/>
    <d v="2025-03-28T00:00:00"/>
    <x v="1"/>
    <s v="South"/>
    <s v="Desktop"/>
    <s v="Paid Search"/>
    <x v="2"/>
    <n v="1"/>
    <n v="0"/>
    <n v="0"/>
    <n v="0"/>
    <n v="0"/>
    <n v="0"/>
    <n v="0"/>
    <m/>
    <n v="71.2"/>
  </r>
  <r>
    <x v="807"/>
    <d v="2025-05-15T00:00:00"/>
    <x v="1"/>
    <s v="South"/>
    <s v="Tablet"/>
    <s v="Paid Search"/>
    <x v="1"/>
    <n v="1"/>
    <n v="0"/>
    <n v="0"/>
    <n v="0"/>
    <n v="0"/>
    <n v="0"/>
    <n v="0"/>
    <m/>
    <n v="77.900000000000006"/>
  </r>
  <r>
    <x v="808"/>
    <d v="2025-03-13T00:00:00"/>
    <x v="1"/>
    <s v="West"/>
    <s v="Mobile"/>
    <s v="Paid Search"/>
    <x v="1"/>
    <n v="0"/>
    <n v="0"/>
    <n v="0"/>
    <n v="0"/>
    <n v="0"/>
    <n v="0"/>
    <n v="0"/>
    <m/>
    <n v="48.6"/>
  </r>
  <r>
    <x v="809"/>
    <d v="2025-03-26T00:00:00"/>
    <x v="1"/>
    <s v="North"/>
    <s v="Mobile"/>
    <s v="Social"/>
    <x v="2"/>
    <n v="1"/>
    <n v="0"/>
    <n v="0"/>
    <n v="0"/>
    <n v="0"/>
    <n v="0"/>
    <n v="0"/>
    <m/>
    <n v="61.9"/>
  </r>
  <r>
    <x v="810"/>
    <d v="2025-01-09T00:00:00"/>
    <x v="1"/>
    <s v="North"/>
    <s v="Mobile"/>
    <s v="Social"/>
    <x v="0"/>
    <n v="0"/>
    <n v="0"/>
    <n v="0"/>
    <n v="0"/>
    <n v="0"/>
    <n v="1"/>
    <n v="0"/>
    <m/>
    <n v="58.7"/>
  </r>
  <r>
    <x v="811"/>
    <d v="2025-05-06T00:00:00"/>
    <x v="1"/>
    <s v="South"/>
    <s v="Desktop"/>
    <s v="Paid Search"/>
    <x v="1"/>
    <n v="1"/>
    <n v="0"/>
    <n v="0"/>
    <n v="0"/>
    <n v="0"/>
    <n v="0"/>
    <n v="0"/>
    <m/>
    <n v="69.599999999999994"/>
  </r>
  <r>
    <x v="812"/>
    <d v="2025-02-17T00:00:00"/>
    <x v="1"/>
    <s v="South"/>
    <s v="Mobile"/>
    <s v="Organic"/>
    <x v="1"/>
    <n v="1"/>
    <n v="0"/>
    <n v="0"/>
    <n v="0"/>
    <n v="0"/>
    <n v="0"/>
    <n v="0"/>
    <m/>
    <n v="51.5"/>
  </r>
  <r>
    <x v="813"/>
    <d v="2025-04-05T00:00:00"/>
    <x v="1"/>
    <s v="East"/>
    <s v="Mobile"/>
    <s v="Paid Search"/>
    <x v="1"/>
    <n v="1"/>
    <n v="1"/>
    <n v="1"/>
    <n v="1"/>
    <n v="277.69"/>
    <n v="3"/>
    <n v="0"/>
    <n v="8"/>
    <n v="46"/>
  </r>
  <r>
    <x v="814"/>
    <d v="2025-04-13T00:00:00"/>
    <x v="1"/>
    <s v="West"/>
    <s v="Tablet"/>
    <s v="Organic"/>
    <x v="1"/>
    <n v="1"/>
    <n v="0"/>
    <n v="0"/>
    <n v="0"/>
    <n v="0"/>
    <n v="0"/>
    <n v="0"/>
    <m/>
    <n v="81.7"/>
  </r>
  <r>
    <x v="815"/>
    <d v="2025-05-20T00:00:00"/>
    <x v="1"/>
    <s v="East"/>
    <s v="Desktop"/>
    <s v="Referral"/>
    <x v="1"/>
    <n v="1"/>
    <n v="0"/>
    <n v="0"/>
    <n v="0"/>
    <n v="0"/>
    <n v="0"/>
    <n v="0"/>
    <m/>
    <n v="48.3"/>
  </r>
  <r>
    <x v="816"/>
    <d v="2025-03-31T00:00:00"/>
    <x v="1"/>
    <s v="East"/>
    <s v="Mobile"/>
    <s v="Email"/>
    <x v="1"/>
    <n v="1"/>
    <n v="1"/>
    <n v="0"/>
    <n v="0"/>
    <n v="0"/>
    <n v="0"/>
    <n v="0"/>
    <m/>
    <n v="85.6"/>
  </r>
  <r>
    <x v="817"/>
    <d v="2025-04-03T00:00:00"/>
    <x v="1"/>
    <s v="West"/>
    <s v="Tablet"/>
    <s v="Paid Search"/>
    <x v="0"/>
    <n v="1"/>
    <n v="0"/>
    <n v="0"/>
    <n v="0"/>
    <n v="0"/>
    <n v="0"/>
    <n v="0"/>
    <m/>
    <n v="53.8"/>
  </r>
  <r>
    <x v="818"/>
    <d v="2025-02-04T00:00:00"/>
    <x v="1"/>
    <s v="South"/>
    <s v="Mobile"/>
    <s v="Organic"/>
    <x v="1"/>
    <n v="1"/>
    <n v="1"/>
    <n v="1"/>
    <n v="1"/>
    <n v="460.83"/>
    <n v="2"/>
    <n v="0"/>
    <n v="0"/>
    <n v="69.7"/>
  </r>
  <r>
    <x v="819"/>
    <d v="2025-05-19T00:00:00"/>
    <x v="1"/>
    <s v="East"/>
    <s v="Mobile"/>
    <s v="Organic"/>
    <x v="1"/>
    <n v="1"/>
    <n v="0"/>
    <n v="0"/>
    <n v="0"/>
    <n v="0"/>
    <n v="0"/>
    <n v="0"/>
    <m/>
    <n v="74.8"/>
  </r>
  <r>
    <x v="820"/>
    <d v="2025-03-08T00:00:00"/>
    <x v="1"/>
    <s v="East"/>
    <s v="Desktop"/>
    <s v="Paid Search"/>
    <x v="0"/>
    <n v="0"/>
    <n v="0"/>
    <n v="0"/>
    <n v="0"/>
    <n v="0"/>
    <n v="0"/>
    <n v="0"/>
    <m/>
    <n v="87.9"/>
  </r>
  <r>
    <x v="821"/>
    <d v="2025-05-10T00:00:00"/>
    <x v="1"/>
    <s v="North"/>
    <s v="Mobile"/>
    <s v="Social"/>
    <x v="0"/>
    <n v="1"/>
    <n v="0"/>
    <n v="0"/>
    <n v="0"/>
    <n v="0"/>
    <n v="1"/>
    <n v="0"/>
    <m/>
    <n v="49.1"/>
  </r>
  <r>
    <x v="822"/>
    <d v="2025-01-02T00:00:00"/>
    <x v="1"/>
    <s v="East"/>
    <s v="Desktop"/>
    <s v="Social"/>
    <x v="0"/>
    <n v="1"/>
    <n v="0"/>
    <n v="0"/>
    <n v="0"/>
    <n v="0"/>
    <n v="2"/>
    <n v="0"/>
    <m/>
    <n v="73"/>
  </r>
  <r>
    <x v="823"/>
    <d v="2025-01-17T00:00:00"/>
    <x v="1"/>
    <s v="West"/>
    <s v="Mobile"/>
    <s v="Organic"/>
    <x v="0"/>
    <n v="0"/>
    <n v="0"/>
    <n v="0"/>
    <n v="0"/>
    <n v="0"/>
    <n v="0"/>
    <n v="0"/>
    <m/>
    <n v="79.5"/>
  </r>
  <r>
    <x v="824"/>
    <d v="2025-05-21T00:00:00"/>
    <x v="1"/>
    <s v="West"/>
    <s v="Mobile"/>
    <s v="Referral"/>
    <x v="0"/>
    <n v="1"/>
    <n v="1"/>
    <n v="1"/>
    <n v="1"/>
    <n v="782.23"/>
    <n v="1"/>
    <n v="0"/>
    <n v="6"/>
    <n v="93.2"/>
  </r>
  <r>
    <x v="825"/>
    <d v="2025-05-25T00:00:00"/>
    <x v="1"/>
    <s v="East"/>
    <s v="Desktop"/>
    <s v="Referral"/>
    <x v="1"/>
    <n v="1"/>
    <n v="0"/>
    <n v="0"/>
    <n v="0"/>
    <n v="0"/>
    <n v="3"/>
    <n v="0"/>
    <m/>
    <n v="77.5"/>
  </r>
  <r>
    <x v="826"/>
    <d v="2025-01-05T00:00:00"/>
    <x v="1"/>
    <s v="West"/>
    <s v="Mobile"/>
    <s v="Email"/>
    <x v="0"/>
    <n v="1"/>
    <n v="0"/>
    <n v="0"/>
    <n v="0"/>
    <n v="0"/>
    <n v="0"/>
    <n v="0"/>
    <m/>
    <n v="61"/>
  </r>
  <r>
    <x v="827"/>
    <d v="2025-02-24T00:00:00"/>
    <x v="1"/>
    <s v="South"/>
    <s v="Desktop"/>
    <s v="Organic"/>
    <x v="1"/>
    <n v="1"/>
    <n v="1"/>
    <n v="0"/>
    <n v="0"/>
    <n v="0"/>
    <n v="0"/>
    <n v="0"/>
    <m/>
    <n v="64.900000000000006"/>
  </r>
  <r>
    <x v="828"/>
    <d v="2025-01-21T00:00:00"/>
    <x v="1"/>
    <s v="East"/>
    <s v="Mobile"/>
    <s v="Paid Search"/>
    <x v="0"/>
    <n v="1"/>
    <n v="0"/>
    <n v="0"/>
    <n v="0"/>
    <n v="0"/>
    <n v="0"/>
    <n v="0"/>
    <m/>
    <n v="87.5"/>
  </r>
  <r>
    <x v="829"/>
    <d v="2025-04-24T00:00:00"/>
    <x v="1"/>
    <s v="North"/>
    <s v="Mobile"/>
    <s v="Organic"/>
    <x v="0"/>
    <n v="1"/>
    <n v="1"/>
    <n v="1"/>
    <n v="1"/>
    <n v="1171.99"/>
    <n v="0"/>
    <n v="0"/>
    <n v="5"/>
    <n v="80.599999999999994"/>
  </r>
  <r>
    <x v="830"/>
    <d v="2025-01-07T00:00:00"/>
    <x v="1"/>
    <s v="West"/>
    <s v="Desktop"/>
    <s v="Organic"/>
    <x v="1"/>
    <n v="1"/>
    <n v="0"/>
    <n v="0"/>
    <n v="0"/>
    <n v="0"/>
    <n v="0"/>
    <n v="0"/>
    <m/>
    <n v="66.900000000000006"/>
  </r>
  <r>
    <x v="831"/>
    <d v="2025-05-31T00:00:00"/>
    <x v="1"/>
    <s v="South"/>
    <s v="Tablet"/>
    <s v="Organic"/>
    <x v="0"/>
    <n v="1"/>
    <n v="1"/>
    <n v="1"/>
    <n v="0"/>
    <n v="0"/>
    <n v="0"/>
    <n v="0"/>
    <m/>
    <n v="58.8"/>
  </r>
  <r>
    <x v="832"/>
    <d v="2025-04-02T00:00:00"/>
    <x v="1"/>
    <s v="North"/>
    <s v="Desktop"/>
    <s v="Organic"/>
    <x v="0"/>
    <n v="1"/>
    <n v="1"/>
    <n v="1"/>
    <n v="1"/>
    <n v="1010.4"/>
    <n v="0"/>
    <n v="0"/>
    <n v="4"/>
    <n v="42.9"/>
  </r>
  <r>
    <x v="833"/>
    <d v="2025-04-21T00:00:00"/>
    <x v="1"/>
    <s v="East"/>
    <s v="Mobile"/>
    <s v="Organic"/>
    <x v="1"/>
    <n v="1"/>
    <n v="1"/>
    <n v="1"/>
    <n v="0"/>
    <n v="0"/>
    <n v="1"/>
    <n v="0"/>
    <m/>
    <n v="60.2"/>
  </r>
  <r>
    <x v="834"/>
    <d v="2025-05-05T00:00:00"/>
    <x v="1"/>
    <s v="East"/>
    <s v="Mobile"/>
    <s v="Paid Search"/>
    <x v="0"/>
    <n v="1"/>
    <n v="0"/>
    <n v="0"/>
    <n v="0"/>
    <n v="0"/>
    <n v="0"/>
    <n v="0"/>
    <m/>
    <n v="42.7"/>
  </r>
  <r>
    <x v="835"/>
    <d v="2025-01-06T00:00:00"/>
    <x v="1"/>
    <s v="North"/>
    <s v="Desktop"/>
    <s v="Social"/>
    <x v="1"/>
    <n v="1"/>
    <n v="1"/>
    <n v="1"/>
    <n v="1"/>
    <n v="431.27"/>
    <n v="0"/>
    <n v="0"/>
    <n v="7"/>
    <n v="60.8"/>
  </r>
  <r>
    <x v="836"/>
    <d v="2025-04-24T00:00:00"/>
    <x v="1"/>
    <s v="South"/>
    <s v="Mobile"/>
    <s v="Referral"/>
    <x v="1"/>
    <n v="1"/>
    <n v="1"/>
    <n v="1"/>
    <n v="1"/>
    <n v="428.8"/>
    <n v="0"/>
    <n v="0"/>
    <n v="9"/>
    <n v="79.3"/>
  </r>
  <r>
    <x v="837"/>
    <d v="2025-04-21T00:00:00"/>
    <x v="1"/>
    <s v="South"/>
    <s v="Mobile"/>
    <s v="Organic"/>
    <x v="0"/>
    <n v="1"/>
    <n v="0"/>
    <n v="0"/>
    <n v="0"/>
    <n v="0"/>
    <n v="1"/>
    <n v="0"/>
    <m/>
    <n v="88.6"/>
  </r>
  <r>
    <x v="838"/>
    <d v="2025-02-09T00:00:00"/>
    <x v="1"/>
    <s v="West"/>
    <s v="Mobile"/>
    <s v="Organic"/>
    <x v="0"/>
    <n v="1"/>
    <n v="1"/>
    <n v="1"/>
    <n v="0"/>
    <n v="0"/>
    <n v="0"/>
    <n v="0"/>
    <m/>
    <n v="63.1"/>
  </r>
  <r>
    <x v="839"/>
    <d v="2025-01-09T00:00:00"/>
    <x v="1"/>
    <s v="East"/>
    <s v="Mobile"/>
    <s v="Organic"/>
    <x v="2"/>
    <n v="1"/>
    <n v="0"/>
    <n v="0"/>
    <n v="0"/>
    <n v="0"/>
    <n v="0"/>
    <n v="0"/>
    <m/>
    <n v="39.700000000000003"/>
  </r>
  <r>
    <x v="840"/>
    <d v="2025-02-16T00:00:00"/>
    <x v="1"/>
    <s v="North"/>
    <s v="Mobile"/>
    <s v="Paid Search"/>
    <x v="0"/>
    <n v="0"/>
    <n v="0"/>
    <n v="0"/>
    <n v="0"/>
    <n v="0"/>
    <n v="0"/>
    <n v="0"/>
    <m/>
    <n v="67.2"/>
  </r>
  <r>
    <x v="841"/>
    <d v="2025-02-21T00:00:00"/>
    <x v="1"/>
    <s v="South"/>
    <s v="Mobile"/>
    <s v="Organic"/>
    <x v="1"/>
    <n v="1"/>
    <n v="1"/>
    <n v="1"/>
    <n v="0"/>
    <n v="0"/>
    <n v="0"/>
    <n v="0"/>
    <m/>
    <n v="62.3"/>
  </r>
  <r>
    <x v="842"/>
    <d v="2025-02-08T00:00:00"/>
    <x v="1"/>
    <s v="South"/>
    <s v="Mobile"/>
    <s v="Organic"/>
    <x v="2"/>
    <n v="1"/>
    <n v="0"/>
    <n v="0"/>
    <n v="0"/>
    <n v="0"/>
    <n v="0"/>
    <n v="0"/>
    <m/>
    <m/>
  </r>
  <r>
    <x v="843"/>
    <d v="2025-01-22T00:00:00"/>
    <x v="1"/>
    <s v="South"/>
    <s v="Mobile"/>
    <s v="Paid Search"/>
    <x v="2"/>
    <n v="0"/>
    <n v="0"/>
    <n v="0"/>
    <n v="0"/>
    <n v="0"/>
    <n v="0"/>
    <n v="0"/>
    <m/>
    <n v="60.7"/>
  </r>
  <r>
    <x v="844"/>
    <d v="2025-04-01T00:00:00"/>
    <x v="1"/>
    <s v="West"/>
    <s v="Mobile"/>
    <s v="Organic"/>
    <x v="0"/>
    <n v="1"/>
    <n v="0"/>
    <n v="0"/>
    <n v="0"/>
    <n v="0"/>
    <n v="0"/>
    <n v="0"/>
    <m/>
    <n v="61.5"/>
  </r>
  <r>
    <x v="845"/>
    <d v="2025-01-21T00:00:00"/>
    <x v="1"/>
    <s v="North"/>
    <s v="Mobile"/>
    <s v="Paid Search"/>
    <x v="0"/>
    <n v="1"/>
    <n v="0"/>
    <n v="0"/>
    <n v="0"/>
    <n v="0"/>
    <n v="0"/>
    <n v="0"/>
    <m/>
    <n v="75"/>
  </r>
  <r>
    <x v="846"/>
    <d v="2025-01-02T00:00:00"/>
    <x v="1"/>
    <s v="East"/>
    <s v="Desktop"/>
    <s v="Organic"/>
    <x v="1"/>
    <n v="1"/>
    <n v="1"/>
    <n v="0"/>
    <n v="0"/>
    <n v="0"/>
    <n v="0"/>
    <n v="0"/>
    <m/>
    <n v="51.9"/>
  </r>
  <r>
    <x v="847"/>
    <d v="2025-05-12T00:00:00"/>
    <x v="1"/>
    <s v="South"/>
    <s v="Desktop"/>
    <s v="Paid Search"/>
    <x v="1"/>
    <n v="0"/>
    <n v="0"/>
    <n v="0"/>
    <n v="0"/>
    <n v="0"/>
    <n v="0"/>
    <n v="0"/>
    <m/>
    <n v="34.5"/>
  </r>
  <r>
    <x v="848"/>
    <d v="2025-03-05T00:00:00"/>
    <x v="1"/>
    <s v="South"/>
    <s v="Mobile"/>
    <s v="Social"/>
    <x v="0"/>
    <n v="0"/>
    <n v="0"/>
    <n v="0"/>
    <n v="0"/>
    <n v="0"/>
    <n v="0"/>
    <n v="0"/>
    <m/>
    <n v="54.5"/>
  </r>
  <r>
    <x v="849"/>
    <d v="2025-01-24T00:00:00"/>
    <x v="1"/>
    <s v="East"/>
    <s v="Mobile"/>
    <s v="Organic"/>
    <x v="1"/>
    <n v="0"/>
    <n v="0"/>
    <n v="0"/>
    <n v="0"/>
    <n v="0"/>
    <n v="0"/>
    <n v="0"/>
    <m/>
    <n v="46"/>
  </r>
  <r>
    <x v="850"/>
    <d v="2025-01-31T00:00:00"/>
    <x v="1"/>
    <s v="East"/>
    <s v="Desktop"/>
    <s v="Email"/>
    <x v="1"/>
    <n v="1"/>
    <n v="1"/>
    <n v="1"/>
    <n v="0"/>
    <n v="0"/>
    <n v="0"/>
    <n v="0"/>
    <m/>
    <n v="88.4"/>
  </r>
  <r>
    <x v="851"/>
    <d v="2025-01-24T00:00:00"/>
    <x v="1"/>
    <s v="North"/>
    <s v="Tablet"/>
    <s v="Organic"/>
    <x v="0"/>
    <n v="1"/>
    <n v="0"/>
    <n v="0"/>
    <n v="0"/>
    <n v="0"/>
    <n v="0"/>
    <n v="0"/>
    <m/>
    <n v="69.5"/>
  </r>
  <r>
    <x v="852"/>
    <d v="2025-02-14T00:00:00"/>
    <x v="1"/>
    <s v="North"/>
    <s v="Desktop"/>
    <s v="Referral"/>
    <x v="0"/>
    <n v="1"/>
    <n v="1"/>
    <n v="1"/>
    <n v="0"/>
    <n v="0"/>
    <n v="0"/>
    <n v="0"/>
    <m/>
    <n v="74.2"/>
  </r>
  <r>
    <x v="853"/>
    <d v="2025-05-27T00:00:00"/>
    <x v="1"/>
    <s v="North"/>
    <s v="Mobile"/>
    <s v="Organic"/>
    <x v="1"/>
    <n v="1"/>
    <n v="1"/>
    <n v="1"/>
    <n v="0"/>
    <n v="0"/>
    <n v="0"/>
    <n v="0"/>
    <m/>
    <n v="72.099999999999994"/>
  </r>
  <r>
    <x v="854"/>
    <d v="2025-02-28T00:00:00"/>
    <x v="1"/>
    <s v="North"/>
    <s v="Mobile"/>
    <s v="Paid Search"/>
    <x v="1"/>
    <n v="1"/>
    <n v="1"/>
    <n v="1"/>
    <n v="1"/>
    <n v="398.33"/>
    <n v="0"/>
    <n v="0"/>
    <n v="5"/>
    <n v="85.1"/>
  </r>
  <r>
    <x v="855"/>
    <d v="2025-05-27T00:00:00"/>
    <x v="1"/>
    <s v="North"/>
    <s v="Mobile"/>
    <s v="Organic"/>
    <x v="0"/>
    <n v="1"/>
    <n v="1"/>
    <n v="1"/>
    <n v="0"/>
    <n v="0"/>
    <n v="0"/>
    <n v="0"/>
    <m/>
    <n v="49.5"/>
  </r>
  <r>
    <x v="856"/>
    <d v="2025-05-17T00:00:00"/>
    <x v="1"/>
    <s v="South"/>
    <s v="Mobile"/>
    <s v="Paid Search"/>
    <x v="2"/>
    <n v="0"/>
    <n v="0"/>
    <n v="0"/>
    <n v="0"/>
    <n v="0"/>
    <n v="1"/>
    <n v="0"/>
    <m/>
    <n v="79"/>
  </r>
  <r>
    <x v="857"/>
    <d v="2025-01-10T00:00:00"/>
    <x v="1"/>
    <s v="West"/>
    <s v="Desktop"/>
    <s v="Social"/>
    <x v="1"/>
    <n v="0"/>
    <n v="0"/>
    <n v="0"/>
    <n v="0"/>
    <n v="0"/>
    <n v="0"/>
    <n v="0"/>
    <m/>
    <n v="71.8"/>
  </r>
  <r>
    <x v="858"/>
    <d v="2025-04-22T00:00:00"/>
    <x v="1"/>
    <s v="North"/>
    <s v="Mobile"/>
    <s v="Email"/>
    <x v="0"/>
    <n v="1"/>
    <n v="1"/>
    <n v="1"/>
    <n v="1"/>
    <n v="1117.54"/>
    <n v="0"/>
    <n v="0"/>
    <n v="6"/>
    <n v="60.4"/>
  </r>
  <r>
    <x v="859"/>
    <d v="2025-03-02T00:00:00"/>
    <x v="1"/>
    <s v="South"/>
    <s v="Desktop"/>
    <s v="Organic"/>
    <x v="0"/>
    <n v="1"/>
    <n v="0"/>
    <n v="0"/>
    <n v="0"/>
    <n v="0"/>
    <n v="2"/>
    <n v="0"/>
    <m/>
    <n v="38.299999999999997"/>
  </r>
  <r>
    <x v="860"/>
    <d v="2025-03-23T00:00:00"/>
    <x v="1"/>
    <s v="East"/>
    <s v="Mobile"/>
    <s v="Paid Search"/>
    <x v="1"/>
    <n v="1"/>
    <n v="1"/>
    <n v="1"/>
    <n v="0"/>
    <n v="0"/>
    <n v="0"/>
    <n v="0"/>
    <m/>
    <n v="79.599999999999994"/>
  </r>
  <r>
    <x v="861"/>
    <d v="2025-02-12T00:00:00"/>
    <x v="1"/>
    <s v="East"/>
    <s v="Mobile"/>
    <s v="Email"/>
    <x v="1"/>
    <n v="1"/>
    <n v="1"/>
    <n v="1"/>
    <n v="0"/>
    <n v="0"/>
    <n v="0"/>
    <n v="0"/>
    <m/>
    <n v="71.900000000000006"/>
  </r>
  <r>
    <x v="862"/>
    <d v="2025-05-03T00:00:00"/>
    <x v="1"/>
    <s v="South"/>
    <s v="Mobile"/>
    <s v="Referral"/>
    <x v="0"/>
    <n v="1"/>
    <n v="0"/>
    <n v="0"/>
    <n v="0"/>
    <n v="0"/>
    <n v="0"/>
    <n v="0"/>
    <m/>
    <n v="54.6"/>
  </r>
  <r>
    <x v="863"/>
    <d v="2025-03-28T00:00:00"/>
    <x v="1"/>
    <s v="North"/>
    <s v="Desktop"/>
    <s v="Social"/>
    <x v="1"/>
    <n v="1"/>
    <n v="0"/>
    <n v="0"/>
    <n v="0"/>
    <n v="0"/>
    <n v="3"/>
    <n v="0"/>
    <m/>
    <n v="49.3"/>
  </r>
  <r>
    <x v="864"/>
    <d v="2025-03-12T00:00:00"/>
    <x v="1"/>
    <s v="North"/>
    <s v="Mobile"/>
    <s v="Social"/>
    <x v="0"/>
    <n v="0"/>
    <n v="0"/>
    <n v="0"/>
    <n v="0"/>
    <n v="0"/>
    <n v="1"/>
    <n v="0"/>
    <m/>
    <n v="66.900000000000006"/>
  </r>
  <r>
    <x v="865"/>
    <d v="2025-04-27T00:00:00"/>
    <x v="1"/>
    <s v="East"/>
    <s v="Mobile"/>
    <s v="Paid Search"/>
    <x v="1"/>
    <n v="1"/>
    <n v="0"/>
    <n v="0"/>
    <n v="0"/>
    <n v="0"/>
    <n v="1"/>
    <n v="0"/>
    <m/>
    <n v="77.8"/>
  </r>
  <r>
    <x v="866"/>
    <d v="2025-04-02T00:00:00"/>
    <x v="1"/>
    <s v="South"/>
    <s v="Mobile"/>
    <s v="Referral"/>
    <x v="0"/>
    <n v="1"/>
    <n v="0"/>
    <n v="0"/>
    <n v="0"/>
    <n v="0"/>
    <n v="0"/>
    <n v="0"/>
    <m/>
    <n v="63"/>
  </r>
  <r>
    <x v="867"/>
    <d v="2025-04-21T00:00:00"/>
    <x v="1"/>
    <s v="North"/>
    <s v="Mobile"/>
    <s v="Social"/>
    <x v="1"/>
    <n v="0"/>
    <n v="0"/>
    <n v="0"/>
    <n v="0"/>
    <n v="0"/>
    <n v="0"/>
    <n v="0"/>
    <m/>
    <n v="79.8"/>
  </r>
  <r>
    <x v="868"/>
    <d v="2025-01-26T00:00:00"/>
    <x v="1"/>
    <s v="West"/>
    <s v="Desktop"/>
    <s v="Organic"/>
    <x v="0"/>
    <n v="0"/>
    <n v="0"/>
    <n v="0"/>
    <n v="0"/>
    <n v="0"/>
    <n v="0"/>
    <n v="0"/>
    <m/>
    <n v="69.900000000000006"/>
  </r>
  <r>
    <x v="869"/>
    <d v="2025-01-06T00:00:00"/>
    <x v="1"/>
    <s v="West"/>
    <s v="Mobile"/>
    <s v="Organic"/>
    <x v="1"/>
    <n v="0"/>
    <n v="0"/>
    <n v="0"/>
    <n v="0"/>
    <n v="0"/>
    <n v="1"/>
    <n v="0"/>
    <m/>
    <n v="66.400000000000006"/>
  </r>
  <r>
    <x v="870"/>
    <d v="2025-02-07T00:00:00"/>
    <x v="1"/>
    <s v="East"/>
    <s v="Mobile"/>
    <s v="Organic"/>
    <x v="1"/>
    <n v="1"/>
    <n v="0"/>
    <n v="0"/>
    <n v="0"/>
    <n v="0"/>
    <n v="0"/>
    <n v="0"/>
    <m/>
    <n v="27.6"/>
  </r>
  <r>
    <x v="871"/>
    <d v="2025-05-07T00:00:00"/>
    <x v="1"/>
    <s v="West"/>
    <s v="Mobile"/>
    <s v="Organic"/>
    <x v="2"/>
    <n v="1"/>
    <n v="0"/>
    <n v="0"/>
    <n v="0"/>
    <n v="0"/>
    <n v="1"/>
    <n v="0"/>
    <m/>
    <n v="56.5"/>
  </r>
  <r>
    <x v="872"/>
    <d v="2025-04-22T00:00:00"/>
    <x v="1"/>
    <s v="West"/>
    <m/>
    <s v="Social"/>
    <x v="1"/>
    <n v="1"/>
    <n v="0"/>
    <n v="0"/>
    <n v="0"/>
    <n v="0"/>
    <n v="0"/>
    <n v="0"/>
    <m/>
    <n v="67.8"/>
  </r>
  <r>
    <x v="873"/>
    <d v="2025-05-04T00:00:00"/>
    <x v="1"/>
    <s v="West"/>
    <s v="Desktop"/>
    <s v="Social"/>
    <x v="1"/>
    <n v="1"/>
    <n v="0"/>
    <n v="0"/>
    <n v="0"/>
    <n v="0"/>
    <n v="0"/>
    <n v="0"/>
    <m/>
    <n v="80"/>
  </r>
  <r>
    <x v="874"/>
    <d v="2025-05-16T00:00:00"/>
    <x v="1"/>
    <s v="South"/>
    <s v="Mobile"/>
    <s v="Social"/>
    <x v="0"/>
    <n v="1"/>
    <n v="1"/>
    <n v="1"/>
    <n v="0"/>
    <n v="0"/>
    <n v="1"/>
    <n v="0"/>
    <m/>
    <n v="80.900000000000006"/>
  </r>
  <r>
    <x v="875"/>
    <d v="2025-02-11T00:00:00"/>
    <x v="1"/>
    <s v="West"/>
    <s v="Mobile"/>
    <s v="Paid Search"/>
    <x v="1"/>
    <n v="0"/>
    <n v="0"/>
    <n v="0"/>
    <n v="0"/>
    <n v="0"/>
    <n v="0"/>
    <n v="0"/>
    <m/>
    <n v="34.5"/>
  </r>
  <r>
    <x v="876"/>
    <d v="2025-05-09T00:00:00"/>
    <x v="1"/>
    <s v="East"/>
    <s v="Desktop"/>
    <s v="Organic"/>
    <x v="2"/>
    <n v="1"/>
    <n v="0"/>
    <n v="0"/>
    <n v="0"/>
    <n v="0"/>
    <n v="0"/>
    <n v="0"/>
    <m/>
    <n v="73.5"/>
  </r>
  <r>
    <x v="877"/>
    <d v="2025-02-09T00:00:00"/>
    <x v="1"/>
    <s v="South"/>
    <s v="Desktop"/>
    <s v="Paid Search"/>
    <x v="1"/>
    <n v="1"/>
    <n v="1"/>
    <n v="0"/>
    <n v="0"/>
    <n v="0"/>
    <n v="0"/>
    <n v="0"/>
    <m/>
    <n v="70"/>
  </r>
  <r>
    <x v="878"/>
    <d v="2025-05-22T00:00:00"/>
    <x v="1"/>
    <s v="West"/>
    <s v="Mobile"/>
    <s v="Social"/>
    <x v="0"/>
    <n v="0"/>
    <n v="0"/>
    <n v="0"/>
    <n v="0"/>
    <n v="0"/>
    <n v="0"/>
    <n v="0"/>
    <m/>
    <n v="86.9"/>
  </r>
  <r>
    <x v="879"/>
    <d v="2025-05-24T00:00:00"/>
    <x v="1"/>
    <s v="East"/>
    <s v="Mobile"/>
    <s v="Social"/>
    <x v="0"/>
    <n v="0"/>
    <n v="0"/>
    <n v="0"/>
    <n v="0"/>
    <n v="0"/>
    <n v="0"/>
    <n v="0"/>
    <m/>
    <n v="66.900000000000006"/>
  </r>
  <r>
    <x v="880"/>
    <d v="2025-04-27T00:00:00"/>
    <x v="1"/>
    <s v="South"/>
    <s v="Desktop"/>
    <s v="Social"/>
    <x v="0"/>
    <n v="1"/>
    <n v="1"/>
    <n v="1"/>
    <n v="0"/>
    <n v="0"/>
    <n v="0"/>
    <n v="0"/>
    <m/>
    <n v="58.3"/>
  </r>
  <r>
    <x v="881"/>
    <d v="2025-03-19T00:00:00"/>
    <x v="1"/>
    <s v="East"/>
    <s v="Mobile"/>
    <s v="Paid Search"/>
    <x v="1"/>
    <n v="1"/>
    <n v="0"/>
    <n v="0"/>
    <n v="0"/>
    <n v="0"/>
    <n v="0"/>
    <n v="0"/>
    <m/>
    <n v="45"/>
  </r>
  <r>
    <x v="882"/>
    <d v="2025-05-20T00:00:00"/>
    <x v="1"/>
    <s v="South"/>
    <s v="Mobile"/>
    <s v="Organic"/>
    <x v="2"/>
    <n v="0"/>
    <n v="0"/>
    <n v="0"/>
    <n v="0"/>
    <n v="0"/>
    <n v="0"/>
    <n v="0"/>
    <m/>
    <n v="60.8"/>
  </r>
  <r>
    <x v="883"/>
    <d v="2025-05-10T00:00:00"/>
    <x v="1"/>
    <s v="North"/>
    <s v="Mobile"/>
    <s v="Email"/>
    <x v="2"/>
    <n v="1"/>
    <n v="0"/>
    <n v="0"/>
    <n v="0"/>
    <n v="0"/>
    <n v="4"/>
    <n v="0"/>
    <m/>
    <n v="53.7"/>
  </r>
  <r>
    <x v="884"/>
    <d v="2025-03-29T00:00:00"/>
    <x v="1"/>
    <s v="East"/>
    <s v="Mobile"/>
    <s v="Social"/>
    <x v="1"/>
    <n v="1"/>
    <n v="1"/>
    <n v="1"/>
    <n v="0"/>
    <n v="0"/>
    <n v="0"/>
    <n v="0"/>
    <m/>
    <n v="48.8"/>
  </r>
  <r>
    <x v="885"/>
    <d v="2025-04-03T00:00:00"/>
    <x v="1"/>
    <s v="West"/>
    <s v="Desktop"/>
    <s v="Referral"/>
    <x v="0"/>
    <n v="0"/>
    <n v="0"/>
    <n v="0"/>
    <n v="0"/>
    <n v="0"/>
    <n v="0"/>
    <n v="0"/>
    <m/>
    <n v="52.9"/>
  </r>
  <r>
    <x v="886"/>
    <d v="2025-05-30T00:00:00"/>
    <x v="1"/>
    <s v="South"/>
    <s v="Mobile"/>
    <s v="Email"/>
    <x v="1"/>
    <n v="1"/>
    <n v="0"/>
    <n v="0"/>
    <n v="0"/>
    <n v="0"/>
    <n v="0"/>
    <n v="0"/>
    <m/>
    <n v="42.4"/>
  </r>
  <r>
    <x v="887"/>
    <d v="2025-04-06T00:00:00"/>
    <x v="1"/>
    <s v="East"/>
    <s v="Desktop"/>
    <s v="Email"/>
    <x v="1"/>
    <n v="1"/>
    <n v="0"/>
    <n v="0"/>
    <n v="0"/>
    <n v="0"/>
    <n v="0"/>
    <n v="0"/>
    <m/>
    <n v="58.7"/>
  </r>
  <r>
    <x v="888"/>
    <d v="2025-03-14T00:00:00"/>
    <x v="1"/>
    <s v="North"/>
    <s v="Mobile"/>
    <s v="Referral"/>
    <x v="1"/>
    <n v="1"/>
    <n v="1"/>
    <n v="1"/>
    <n v="1"/>
    <n v="2064.5500000000002"/>
    <n v="0"/>
    <n v="0"/>
    <n v="1"/>
    <n v="67.8"/>
  </r>
  <r>
    <x v="889"/>
    <d v="2025-02-24T00:00:00"/>
    <x v="1"/>
    <s v="South"/>
    <s v="Desktop"/>
    <s v="Paid Search"/>
    <x v="0"/>
    <n v="1"/>
    <n v="0"/>
    <n v="0"/>
    <n v="0"/>
    <n v="0"/>
    <n v="0"/>
    <n v="0"/>
    <m/>
    <n v="62.6"/>
  </r>
  <r>
    <x v="890"/>
    <d v="2025-03-04T00:00:00"/>
    <x v="1"/>
    <s v="West"/>
    <s v="Mobile"/>
    <s v="Email"/>
    <x v="0"/>
    <n v="1"/>
    <n v="0"/>
    <n v="0"/>
    <n v="0"/>
    <n v="0"/>
    <n v="0"/>
    <n v="0"/>
    <m/>
    <n v="82.4"/>
  </r>
  <r>
    <x v="891"/>
    <d v="2025-04-02T00:00:00"/>
    <x v="1"/>
    <s v="North"/>
    <s v="Mobile"/>
    <s v="Organic"/>
    <x v="1"/>
    <n v="1"/>
    <n v="1"/>
    <n v="1"/>
    <n v="0"/>
    <n v="0"/>
    <n v="0"/>
    <n v="0"/>
    <m/>
    <n v="50.4"/>
  </r>
  <r>
    <x v="892"/>
    <d v="2025-05-11T00:00:00"/>
    <x v="1"/>
    <s v="North"/>
    <s v="Mobile"/>
    <s v="Email"/>
    <x v="2"/>
    <n v="0"/>
    <n v="0"/>
    <n v="0"/>
    <n v="0"/>
    <n v="0"/>
    <n v="0"/>
    <n v="0"/>
    <m/>
    <n v="68.400000000000006"/>
  </r>
  <r>
    <x v="893"/>
    <d v="2025-05-10T00:00:00"/>
    <x v="1"/>
    <s v="West"/>
    <s v="Tablet"/>
    <s v="Paid Search"/>
    <x v="0"/>
    <n v="1"/>
    <n v="1"/>
    <n v="1"/>
    <n v="0"/>
    <n v="0"/>
    <n v="0"/>
    <n v="0"/>
    <m/>
    <n v="58.8"/>
  </r>
  <r>
    <x v="894"/>
    <d v="2025-05-06T00:00:00"/>
    <x v="1"/>
    <s v="West"/>
    <s v="Mobile"/>
    <s v="Referral"/>
    <x v="1"/>
    <n v="1"/>
    <n v="1"/>
    <n v="0"/>
    <n v="0"/>
    <n v="0"/>
    <n v="2"/>
    <n v="0"/>
    <m/>
    <n v="28.3"/>
  </r>
  <r>
    <x v="895"/>
    <d v="2025-02-11T00:00:00"/>
    <x v="1"/>
    <s v="West"/>
    <s v="Desktop"/>
    <s v="Paid Search"/>
    <x v="1"/>
    <n v="1"/>
    <n v="1"/>
    <n v="0"/>
    <n v="0"/>
    <n v="0"/>
    <n v="0"/>
    <n v="0"/>
    <m/>
    <n v="44.1"/>
  </r>
  <r>
    <x v="896"/>
    <d v="2025-05-09T00:00:00"/>
    <x v="1"/>
    <s v="South"/>
    <s v="Mobile"/>
    <s v="Paid Search"/>
    <x v="2"/>
    <n v="1"/>
    <n v="1"/>
    <n v="0"/>
    <n v="0"/>
    <n v="0"/>
    <n v="0"/>
    <n v="0"/>
    <m/>
    <n v="66.7"/>
  </r>
  <r>
    <x v="897"/>
    <d v="2025-02-02T00:00:00"/>
    <x v="1"/>
    <s v="South"/>
    <s v="Mobile"/>
    <m/>
    <x v="1"/>
    <n v="1"/>
    <n v="0"/>
    <n v="0"/>
    <n v="0"/>
    <n v="0"/>
    <n v="0"/>
    <n v="0"/>
    <m/>
    <n v="100"/>
  </r>
  <r>
    <x v="898"/>
    <d v="2025-04-03T00:00:00"/>
    <x v="1"/>
    <s v="South"/>
    <s v="Mobile"/>
    <s v="Social"/>
    <x v="1"/>
    <n v="1"/>
    <n v="1"/>
    <n v="0"/>
    <n v="0"/>
    <n v="0"/>
    <n v="0"/>
    <n v="0"/>
    <m/>
    <n v="87.5"/>
  </r>
  <r>
    <x v="899"/>
    <d v="2025-02-15T00:00:00"/>
    <x v="1"/>
    <s v="North"/>
    <s v="Desktop"/>
    <s v="Organic"/>
    <x v="0"/>
    <n v="1"/>
    <n v="0"/>
    <n v="0"/>
    <n v="0"/>
    <n v="0"/>
    <n v="2"/>
    <n v="0"/>
    <m/>
    <n v="65.400000000000006"/>
  </r>
  <r>
    <x v="900"/>
    <d v="2025-04-18T00:00:00"/>
    <x v="1"/>
    <s v="South"/>
    <s v="Desktop"/>
    <s v="Organic"/>
    <x v="1"/>
    <n v="1"/>
    <n v="0"/>
    <n v="0"/>
    <n v="0"/>
    <n v="0"/>
    <n v="0"/>
    <n v="0"/>
    <m/>
    <n v="22.9"/>
  </r>
  <r>
    <x v="901"/>
    <d v="2025-03-14T00:00:00"/>
    <x v="1"/>
    <s v="West"/>
    <s v="Desktop"/>
    <s v="Organic"/>
    <x v="2"/>
    <n v="0"/>
    <n v="0"/>
    <n v="0"/>
    <n v="0"/>
    <n v="0"/>
    <n v="0"/>
    <n v="0"/>
    <m/>
    <n v="64.599999999999994"/>
  </r>
  <r>
    <x v="902"/>
    <d v="2025-03-29T00:00:00"/>
    <x v="1"/>
    <s v="South"/>
    <s v="Mobile"/>
    <s v="Referral"/>
    <x v="1"/>
    <n v="1"/>
    <n v="0"/>
    <n v="0"/>
    <n v="0"/>
    <n v="0"/>
    <n v="2"/>
    <n v="0"/>
    <m/>
    <n v="54.4"/>
  </r>
  <r>
    <x v="903"/>
    <d v="2025-02-13T00:00:00"/>
    <x v="1"/>
    <s v="North"/>
    <s v="Desktop"/>
    <s v="Organic"/>
    <x v="1"/>
    <n v="1"/>
    <n v="1"/>
    <n v="1"/>
    <n v="0"/>
    <n v="0"/>
    <n v="0"/>
    <n v="0"/>
    <m/>
    <n v="56.8"/>
  </r>
  <r>
    <x v="904"/>
    <d v="2025-01-23T00:00:00"/>
    <x v="1"/>
    <s v="South"/>
    <s v="Mobile"/>
    <s v="Paid Search"/>
    <x v="1"/>
    <n v="1"/>
    <n v="1"/>
    <n v="1"/>
    <n v="1"/>
    <n v="341.38"/>
    <n v="0"/>
    <n v="0"/>
    <n v="2"/>
    <n v="63.6"/>
  </r>
  <r>
    <x v="905"/>
    <d v="2025-02-24T00:00:00"/>
    <x v="1"/>
    <s v="East"/>
    <s v="Mobile"/>
    <s v="Social"/>
    <x v="1"/>
    <n v="1"/>
    <n v="0"/>
    <n v="0"/>
    <n v="0"/>
    <n v="0"/>
    <n v="0"/>
    <n v="0"/>
    <m/>
    <n v="58.2"/>
  </r>
  <r>
    <x v="906"/>
    <d v="2025-02-28T00:00:00"/>
    <x v="1"/>
    <s v="West"/>
    <s v="Mobile"/>
    <s v="Paid Search"/>
    <x v="1"/>
    <n v="1"/>
    <n v="1"/>
    <n v="0"/>
    <n v="0"/>
    <n v="0"/>
    <n v="0"/>
    <n v="0"/>
    <m/>
    <n v="54.6"/>
  </r>
  <r>
    <x v="907"/>
    <d v="2025-01-07T00:00:00"/>
    <x v="1"/>
    <s v="West"/>
    <s v="Tablet"/>
    <s v="Organic"/>
    <x v="0"/>
    <n v="1"/>
    <n v="0"/>
    <n v="0"/>
    <n v="0"/>
    <n v="0"/>
    <n v="0"/>
    <n v="0"/>
    <m/>
    <n v="81.900000000000006"/>
  </r>
  <r>
    <x v="908"/>
    <d v="2025-03-21T00:00:00"/>
    <x v="1"/>
    <s v="West"/>
    <s v="Desktop"/>
    <s v="Email"/>
    <x v="1"/>
    <n v="1"/>
    <n v="0"/>
    <n v="0"/>
    <n v="0"/>
    <n v="0"/>
    <n v="3"/>
    <n v="0"/>
    <m/>
    <n v="53.3"/>
  </r>
  <r>
    <x v="909"/>
    <d v="2025-02-18T00:00:00"/>
    <x v="1"/>
    <s v="North"/>
    <s v="Desktop"/>
    <s v="Organic"/>
    <x v="0"/>
    <n v="0"/>
    <n v="0"/>
    <n v="0"/>
    <n v="0"/>
    <n v="0"/>
    <n v="0"/>
    <n v="0"/>
    <m/>
    <n v="54.2"/>
  </r>
  <r>
    <x v="910"/>
    <d v="2025-01-05T00:00:00"/>
    <x v="1"/>
    <s v="North"/>
    <s v="Mobile"/>
    <s v="Paid Search"/>
    <x v="1"/>
    <n v="1"/>
    <n v="1"/>
    <n v="0"/>
    <n v="0"/>
    <n v="0"/>
    <n v="0"/>
    <n v="0"/>
    <m/>
    <n v="65.599999999999994"/>
  </r>
  <r>
    <x v="911"/>
    <d v="2025-03-11T00:00:00"/>
    <x v="1"/>
    <s v="East"/>
    <s v="Desktop"/>
    <s v="Organic"/>
    <x v="0"/>
    <n v="1"/>
    <n v="0"/>
    <n v="0"/>
    <n v="0"/>
    <n v="0"/>
    <n v="1"/>
    <n v="0"/>
    <m/>
    <n v="56.5"/>
  </r>
  <r>
    <x v="912"/>
    <d v="2025-01-09T00:00:00"/>
    <x v="1"/>
    <s v="North"/>
    <s v="Desktop"/>
    <s v="Organic"/>
    <x v="0"/>
    <n v="1"/>
    <n v="0"/>
    <n v="0"/>
    <n v="0"/>
    <n v="0"/>
    <n v="0"/>
    <n v="0"/>
    <m/>
    <n v="59.7"/>
  </r>
  <r>
    <x v="913"/>
    <d v="2025-01-08T00:00:00"/>
    <x v="1"/>
    <s v="South"/>
    <s v="Mobile"/>
    <s v="Organic"/>
    <x v="1"/>
    <n v="1"/>
    <n v="1"/>
    <n v="1"/>
    <n v="0"/>
    <n v="0"/>
    <n v="0"/>
    <n v="0"/>
    <m/>
    <n v="72.5"/>
  </r>
  <r>
    <x v="914"/>
    <d v="2025-05-01T00:00:00"/>
    <x v="1"/>
    <s v="East"/>
    <s v="Desktop"/>
    <s v="Paid Search"/>
    <x v="1"/>
    <n v="1"/>
    <n v="0"/>
    <n v="0"/>
    <n v="0"/>
    <n v="0"/>
    <n v="0"/>
    <n v="0"/>
    <m/>
    <n v="64.3"/>
  </r>
  <r>
    <x v="915"/>
    <d v="2025-03-03T00:00:00"/>
    <x v="1"/>
    <s v="South"/>
    <s v="Mobile"/>
    <s v="Social"/>
    <x v="1"/>
    <n v="1"/>
    <n v="0"/>
    <n v="0"/>
    <n v="0"/>
    <n v="0"/>
    <n v="0"/>
    <n v="0"/>
    <m/>
    <n v="64.5"/>
  </r>
  <r>
    <x v="916"/>
    <d v="2025-02-23T00:00:00"/>
    <x v="1"/>
    <s v="West"/>
    <s v="Desktop"/>
    <s v="Social"/>
    <x v="0"/>
    <n v="1"/>
    <n v="1"/>
    <n v="1"/>
    <n v="0"/>
    <n v="0"/>
    <n v="0"/>
    <n v="0"/>
    <m/>
    <n v="70.599999999999994"/>
  </r>
  <r>
    <x v="917"/>
    <d v="2025-02-17T00:00:00"/>
    <x v="1"/>
    <s v="South"/>
    <s v="Desktop"/>
    <s v="Organic"/>
    <x v="0"/>
    <n v="0"/>
    <n v="0"/>
    <n v="0"/>
    <n v="0"/>
    <n v="0"/>
    <n v="0"/>
    <n v="0"/>
    <m/>
    <n v="58.4"/>
  </r>
  <r>
    <x v="918"/>
    <d v="2025-05-21T00:00:00"/>
    <x v="1"/>
    <s v="East"/>
    <s v="Mobile"/>
    <s v="Organic"/>
    <x v="0"/>
    <n v="1"/>
    <n v="0"/>
    <n v="0"/>
    <n v="0"/>
    <n v="0"/>
    <n v="0"/>
    <n v="0"/>
    <m/>
    <n v="56.6"/>
  </r>
  <r>
    <x v="919"/>
    <d v="2025-01-30T00:00:00"/>
    <x v="1"/>
    <s v="South"/>
    <s v="Mobile"/>
    <s v="Organic"/>
    <x v="1"/>
    <n v="1"/>
    <n v="0"/>
    <n v="0"/>
    <n v="0"/>
    <n v="0"/>
    <n v="0"/>
    <n v="0"/>
    <m/>
    <n v="61.8"/>
  </r>
  <r>
    <x v="920"/>
    <d v="2025-03-20T00:00:00"/>
    <x v="1"/>
    <s v="West"/>
    <s v="Mobile"/>
    <s v="Email"/>
    <x v="1"/>
    <n v="1"/>
    <n v="1"/>
    <n v="1"/>
    <n v="1"/>
    <n v="513.52"/>
    <n v="0"/>
    <n v="0"/>
    <n v="8"/>
    <n v="43.4"/>
  </r>
  <r>
    <x v="921"/>
    <d v="2025-04-10T00:00:00"/>
    <x v="1"/>
    <s v="West"/>
    <s v="Tablet"/>
    <s v="Paid Search"/>
    <x v="1"/>
    <n v="0"/>
    <n v="0"/>
    <n v="0"/>
    <n v="0"/>
    <n v="0"/>
    <n v="0"/>
    <n v="0"/>
    <m/>
    <n v="43"/>
  </r>
  <r>
    <x v="922"/>
    <d v="2025-03-07T00:00:00"/>
    <x v="1"/>
    <s v="North"/>
    <s v="Desktop"/>
    <s v="Organic"/>
    <x v="1"/>
    <n v="1"/>
    <n v="1"/>
    <n v="1"/>
    <n v="0"/>
    <n v="0"/>
    <n v="0"/>
    <n v="0"/>
    <m/>
    <n v="51.1"/>
  </r>
  <r>
    <x v="923"/>
    <d v="2025-03-12T00:00:00"/>
    <x v="1"/>
    <s v="West"/>
    <s v="Mobile"/>
    <s v="Email"/>
    <x v="0"/>
    <n v="1"/>
    <n v="0"/>
    <n v="0"/>
    <n v="0"/>
    <n v="0"/>
    <n v="0"/>
    <n v="0"/>
    <m/>
    <n v="48.8"/>
  </r>
  <r>
    <x v="924"/>
    <d v="2025-02-24T00:00:00"/>
    <x v="1"/>
    <s v="East"/>
    <s v="Mobile"/>
    <s v="Referral"/>
    <x v="1"/>
    <n v="0"/>
    <n v="0"/>
    <n v="0"/>
    <n v="0"/>
    <n v="0"/>
    <n v="0"/>
    <n v="0"/>
    <m/>
    <n v="73.2"/>
  </r>
  <r>
    <x v="925"/>
    <d v="2025-01-15T00:00:00"/>
    <x v="1"/>
    <s v="East"/>
    <s v="Mobile"/>
    <s v="Referral"/>
    <x v="1"/>
    <n v="1"/>
    <n v="1"/>
    <n v="1"/>
    <n v="0"/>
    <n v="0"/>
    <n v="0"/>
    <n v="0"/>
    <m/>
    <n v="80"/>
  </r>
  <r>
    <x v="926"/>
    <d v="2025-01-07T00:00:00"/>
    <x v="1"/>
    <s v="North"/>
    <s v="Desktop"/>
    <s v="Paid Search"/>
    <x v="1"/>
    <n v="1"/>
    <n v="0"/>
    <n v="0"/>
    <n v="0"/>
    <n v="0"/>
    <n v="0"/>
    <n v="0"/>
    <m/>
    <n v="52.3"/>
  </r>
  <r>
    <x v="927"/>
    <d v="2025-03-02T00:00:00"/>
    <x v="1"/>
    <s v="North"/>
    <s v="Desktop"/>
    <s v="Organic"/>
    <x v="1"/>
    <n v="0"/>
    <n v="0"/>
    <n v="0"/>
    <n v="0"/>
    <n v="0"/>
    <n v="0"/>
    <n v="0"/>
    <m/>
    <n v="49.1"/>
  </r>
  <r>
    <x v="928"/>
    <d v="2025-01-05T00:00:00"/>
    <x v="1"/>
    <s v="South"/>
    <s v="Desktop"/>
    <s v="Referral"/>
    <x v="0"/>
    <n v="0"/>
    <n v="0"/>
    <n v="0"/>
    <n v="0"/>
    <n v="0"/>
    <n v="0"/>
    <n v="0"/>
    <m/>
    <n v="45.3"/>
  </r>
  <r>
    <x v="929"/>
    <d v="2025-03-03T00:00:00"/>
    <x v="1"/>
    <s v="South"/>
    <s v="Mobile"/>
    <s v="Organic"/>
    <x v="1"/>
    <n v="1"/>
    <n v="1"/>
    <n v="0"/>
    <n v="0"/>
    <n v="0"/>
    <n v="0"/>
    <n v="0"/>
    <m/>
    <n v="49.1"/>
  </r>
  <r>
    <x v="930"/>
    <d v="2025-03-31T00:00:00"/>
    <x v="1"/>
    <s v="East"/>
    <s v="Desktop"/>
    <s v="Referral"/>
    <x v="1"/>
    <n v="1"/>
    <n v="1"/>
    <n v="1"/>
    <n v="1"/>
    <n v="476.44"/>
    <n v="0"/>
    <n v="0"/>
    <n v="3"/>
    <n v="88.6"/>
  </r>
  <r>
    <x v="931"/>
    <d v="2025-01-14T00:00:00"/>
    <x v="1"/>
    <s v="East"/>
    <s v="Desktop"/>
    <s v="Paid Search"/>
    <x v="2"/>
    <n v="0"/>
    <n v="0"/>
    <n v="0"/>
    <n v="0"/>
    <n v="0"/>
    <n v="1"/>
    <n v="0"/>
    <m/>
    <n v="54.4"/>
  </r>
  <r>
    <x v="932"/>
    <d v="2025-01-15T00:00:00"/>
    <x v="1"/>
    <s v="West"/>
    <s v="Desktop"/>
    <s v="Paid Search"/>
    <x v="2"/>
    <n v="1"/>
    <n v="0"/>
    <n v="0"/>
    <n v="0"/>
    <n v="0"/>
    <n v="0"/>
    <n v="0"/>
    <m/>
    <n v="72.900000000000006"/>
  </r>
  <r>
    <x v="933"/>
    <d v="2025-04-25T00:00:00"/>
    <x v="1"/>
    <s v="West"/>
    <s v="Desktop"/>
    <s v="Organic"/>
    <x v="1"/>
    <n v="1"/>
    <n v="0"/>
    <n v="0"/>
    <n v="0"/>
    <n v="0"/>
    <n v="0"/>
    <n v="0"/>
    <m/>
    <n v="53.2"/>
  </r>
  <r>
    <x v="934"/>
    <d v="2025-03-21T00:00:00"/>
    <x v="1"/>
    <s v="East"/>
    <s v="Mobile"/>
    <s v="Organic"/>
    <x v="0"/>
    <n v="1"/>
    <n v="1"/>
    <n v="0"/>
    <n v="0"/>
    <n v="0"/>
    <n v="0"/>
    <n v="0"/>
    <m/>
    <n v="48.7"/>
  </r>
  <r>
    <x v="935"/>
    <d v="2025-04-26T00:00:00"/>
    <x v="1"/>
    <s v="South"/>
    <s v="Mobile"/>
    <s v="Paid Search"/>
    <x v="0"/>
    <n v="1"/>
    <n v="1"/>
    <n v="1"/>
    <n v="0"/>
    <n v="0"/>
    <n v="0"/>
    <n v="0"/>
    <m/>
    <n v="59.9"/>
  </r>
  <r>
    <x v="936"/>
    <d v="2025-05-21T00:00:00"/>
    <x v="1"/>
    <s v="South"/>
    <s v="Desktop"/>
    <m/>
    <x v="0"/>
    <n v="0"/>
    <n v="0"/>
    <n v="0"/>
    <n v="0"/>
    <n v="0"/>
    <n v="0"/>
    <n v="0"/>
    <m/>
    <n v="82"/>
  </r>
  <r>
    <x v="937"/>
    <d v="2025-04-18T00:00:00"/>
    <x v="1"/>
    <s v="East"/>
    <s v="Mobile"/>
    <s v="Paid Search"/>
    <x v="1"/>
    <n v="0"/>
    <n v="0"/>
    <n v="0"/>
    <n v="0"/>
    <n v="0"/>
    <n v="0"/>
    <n v="0"/>
    <m/>
    <n v="72.099999999999994"/>
  </r>
  <r>
    <x v="938"/>
    <d v="2025-01-29T00:00:00"/>
    <x v="1"/>
    <s v="North"/>
    <s v="Desktop"/>
    <s v="Email"/>
    <x v="2"/>
    <n v="1"/>
    <n v="1"/>
    <n v="0"/>
    <n v="0"/>
    <n v="0"/>
    <n v="0"/>
    <n v="0"/>
    <m/>
    <n v="68.3"/>
  </r>
  <r>
    <x v="939"/>
    <d v="2025-05-28T00:00:00"/>
    <x v="1"/>
    <s v="West"/>
    <s v="Mobile"/>
    <s v="Organic"/>
    <x v="2"/>
    <n v="0"/>
    <n v="0"/>
    <n v="0"/>
    <n v="0"/>
    <n v="0"/>
    <n v="0"/>
    <n v="0"/>
    <m/>
    <n v="100"/>
  </r>
  <r>
    <x v="940"/>
    <d v="2025-01-15T00:00:00"/>
    <x v="1"/>
    <s v="East"/>
    <s v="Mobile"/>
    <s v="Email"/>
    <x v="1"/>
    <n v="1"/>
    <n v="1"/>
    <n v="1"/>
    <n v="0"/>
    <n v="0"/>
    <n v="2"/>
    <n v="0"/>
    <m/>
    <n v="76.5"/>
  </r>
  <r>
    <x v="941"/>
    <d v="2025-01-03T00:00:00"/>
    <x v="1"/>
    <s v="South"/>
    <s v="Mobile"/>
    <s v="Organic"/>
    <x v="0"/>
    <n v="1"/>
    <n v="1"/>
    <n v="0"/>
    <n v="0"/>
    <n v="0"/>
    <n v="0"/>
    <n v="0"/>
    <m/>
    <n v="62"/>
  </r>
  <r>
    <x v="942"/>
    <d v="2025-02-04T00:00:00"/>
    <x v="1"/>
    <s v="South"/>
    <s v="Mobile"/>
    <s v="Paid Search"/>
    <x v="1"/>
    <n v="1"/>
    <n v="1"/>
    <n v="1"/>
    <n v="1"/>
    <n v="324.68"/>
    <n v="1"/>
    <n v="0"/>
    <n v="7"/>
    <n v="50.1"/>
  </r>
  <r>
    <x v="943"/>
    <d v="2025-02-22T00:00:00"/>
    <x v="1"/>
    <s v="South"/>
    <s v="Mobile"/>
    <s v="Referral"/>
    <x v="2"/>
    <n v="1"/>
    <n v="0"/>
    <n v="0"/>
    <n v="0"/>
    <n v="0"/>
    <n v="0"/>
    <n v="0"/>
    <m/>
    <n v="62.1"/>
  </r>
  <r>
    <x v="944"/>
    <d v="2025-05-06T00:00:00"/>
    <x v="1"/>
    <s v="West"/>
    <s v="Mobile"/>
    <s v="Organic"/>
    <x v="0"/>
    <n v="1"/>
    <n v="0"/>
    <n v="0"/>
    <n v="0"/>
    <n v="0"/>
    <n v="0"/>
    <n v="0"/>
    <m/>
    <n v="49.7"/>
  </r>
  <r>
    <x v="945"/>
    <d v="2025-01-31T00:00:00"/>
    <x v="1"/>
    <s v="South"/>
    <s v="Mobile"/>
    <s v="Organic"/>
    <x v="1"/>
    <n v="1"/>
    <n v="0"/>
    <n v="0"/>
    <n v="0"/>
    <n v="0"/>
    <n v="3"/>
    <n v="0"/>
    <m/>
    <n v="71.099999999999994"/>
  </r>
  <r>
    <x v="946"/>
    <d v="2025-02-18T00:00:00"/>
    <x v="1"/>
    <s v="North"/>
    <s v="Mobile"/>
    <s v="Social"/>
    <x v="0"/>
    <n v="0"/>
    <n v="0"/>
    <n v="0"/>
    <n v="0"/>
    <n v="0"/>
    <n v="0"/>
    <n v="0"/>
    <m/>
    <n v="70.8"/>
  </r>
  <r>
    <x v="947"/>
    <d v="2025-04-23T00:00:00"/>
    <x v="1"/>
    <s v="East"/>
    <s v="Mobile"/>
    <s v="Paid Search"/>
    <x v="1"/>
    <n v="1"/>
    <n v="1"/>
    <n v="1"/>
    <n v="1"/>
    <n v="301.98"/>
    <n v="0"/>
    <n v="0"/>
    <n v="10"/>
    <n v="52.2"/>
  </r>
  <r>
    <x v="948"/>
    <d v="2025-02-06T00:00:00"/>
    <x v="1"/>
    <s v="North"/>
    <s v="Mobile"/>
    <s v="Organic"/>
    <x v="1"/>
    <n v="1"/>
    <n v="1"/>
    <n v="1"/>
    <n v="0"/>
    <n v="0"/>
    <n v="0"/>
    <n v="0"/>
    <m/>
    <n v="73"/>
  </r>
  <r>
    <x v="949"/>
    <d v="2025-04-26T00:00:00"/>
    <x v="1"/>
    <s v="South"/>
    <s v="Desktop"/>
    <s v="Paid Search"/>
    <x v="1"/>
    <n v="0"/>
    <n v="0"/>
    <n v="0"/>
    <n v="0"/>
    <n v="0"/>
    <n v="0"/>
    <n v="0"/>
    <m/>
    <n v="78.2"/>
  </r>
  <r>
    <x v="950"/>
    <d v="2025-03-30T00:00:00"/>
    <x v="1"/>
    <s v="West"/>
    <s v="Desktop"/>
    <s v="Paid Search"/>
    <x v="0"/>
    <n v="1"/>
    <n v="0"/>
    <n v="0"/>
    <n v="0"/>
    <n v="0"/>
    <n v="0"/>
    <n v="0"/>
    <m/>
    <n v="68.8"/>
  </r>
  <r>
    <x v="951"/>
    <d v="2025-04-13T00:00:00"/>
    <x v="1"/>
    <s v="West"/>
    <s v="Mobile"/>
    <m/>
    <x v="2"/>
    <n v="1"/>
    <n v="0"/>
    <n v="0"/>
    <n v="0"/>
    <n v="0"/>
    <n v="0"/>
    <n v="0"/>
    <m/>
    <n v="57.1"/>
  </r>
  <r>
    <x v="952"/>
    <d v="2025-04-04T00:00:00"/>
    <x v="1"/>
    <s v="East"/>
    <s v="Desktop"/>
    <s v="Organic"/>
    <x v="2"/>
    <n v="0"/>
    <n v="0"/>
    <n v="0"/>
    <n v="0"/>
    <n v="0"/>
    <n v="1"/>
    <n v="0"/>
    <m/>
    <n v="74.599999999999994"/>
  </r>
  <r>
    <x v="953"/>
    <d v="2025-04-03T00:00:00"/>
    <x v="1"/>
    <s v="North"/>
    <s v="Desktop"/>
    <s v="Referral"/>
    <x v="1"/>
    <n v="1"/>
    <n v="0"/>
    <n v="0"/>
    <n v="0"/>
    <n v="0"/>
    <n v="1"/>
    <n v="0"/>
    <m/>
    <n v="64.099999999999994"/>
  </r>
  <r>
    <x v="954"/>
    <d v="2025-03-14T00:00:00"/>
    <x v="1"/>
    <s v="West"/>
    <s v="Mobile"/>
    <s v="Paid Search"/>
    <x v="2"/>
    <n v="1"/>
    <n v="0"/>
    <n v="0"/>
    <n v="0"/>
    <n v="0"/>
    <n v="0"/>
    <n v="0"/>
    <m/>
    <n v="67.3"/>
  </r>
  <r>
    <x v="955"/>
    <d v="2025-01-14T00:00:00"/>
    <x v="1"/>
    <s v="West"/>
    <s v="Mobile"/>
    <s v="Referral"/>
    <x v="1"/>
    <n v="0"/>
    <n v="0"/>
    <n v="0"/>
    <n v="0"/>
    <n v="0"/>
    <n v="2"/>
    <n v="0"/>
    <m/>
    <n v="41"/>
  </r>
  <r>
    <x v="956"/>
    <d v="2025-05-05T00:00:00"/>
    <x v="1"/>
    <s v="West"/>
    <s v="Mobile"/>
    <s v="Paid Search"/>
    <x v="1"/>
    <n v="0"/>
    <n v="0"/>
    <n v="0"/>
    <n v="0"/>
    <n v="0"/>
    <n v="0"/>
    <n v="0"/>
    <m/>
    <n v="48.1"/>
  </r>
  <r>
    <x v="957"/>
    <d v="2025-05-02T00:00:00"/>
    <x v="1"/>
    <s v="West"/>
    <s v="Desktop"/>
    <s v="Social"/>
    <x v="1"/>
    <n v="0"/>
    <n v="0"/>
    <n v="0"/>
    <n v="0"/>
    <n v="0"/>
    <n v="1"/>
    <n v="0"/>
    <m/>
    <n v="60.8"/>
  </r>
  <r>
    <x v="958"/>
    <d v="2025-05-21T00:00:00"/>
    <x v="1"/>
    <s v="East"/>
    <s v="Mobile"/>
    <s v="Organic"/>
    <x v="1"/>
    <n v="1"/>
    <n v="0"/>
    <n v="0"/>
    <n v="0"/>
    <n v="0"/>
    <n v="0"/>
    <n v="0"/>
    <m/>
    <n v="63.1"/>
  </r>
  <r>
    <x v="959"/>
    <d v="2025-05-16T00:00:00"/>
    <x v="1"/>
    <s v="North"/>
    <s v="Mobile"/>
    <s v="Referral"/>
    <x v="2"/>
    <n v="1"/>
    <n v="0"/>
    <n v="0"/>
    <n v="0"/>
    <n v="0"/>
    <n v="2"/>
    <n v="0"/>
    <m/>
    <n v="49.7"/>
  </r>
  <r>
    <x v="960"/>
    <d v="2025-05-24T00:00:00"/>
    <x v="1"/>
    <s v="East"/>
    <s v="Desktop"/>
    <s v="Organic"/>
    <x v="2"/>
    <n v="1"/>
    <n v="1"/>
    <n v="1"/>
    <n v="0"/>
    <n v="0"/>
    <n v="1"/>
    <n v="0"/>
    <m/>
    <n v="83.4"/>
  </r>
  <r>
    <x v="961"/>
    <d v="2025-03-18T00:00:00"/>
    <x v="1"/>
    <s v="East"/>
    <s v="Mobile"/>
    <s v="Organic"/>
    <x v="0"/>
    <n v="1"/>
    <n v="0"/>
    <n v="0"/>
    <n v="0"/>
    <n v="0"/>
    <n v="0"/>
    <n v="0"/>
    <m/>
    <n v="75.900000000000006"/>
  </r>
  <r>
    <x v="962"/>
    <d v="2025-01-11T00:00:00"/>
    <x v="1"/>
    <s v="East"/>
    <s v="Desktop"/>
    <s v="Paid Search"/>
    <x v="1"/>
    <n v="0"/>
    <n v="0"/>
    <n v="0"/>
    <n v="0"/>
    <n v="0"/>
    <n v="1"/>
    <n v="0"/>
    <m/>
    <n v="71.8"/>
  </r>
  <r>
    <x v="963"/>
    <d v="2025-02-09T00:00:00"/>
    <x v="1"/>
    <s v="South"/>
    <s v="Mobile"/>
    <s v="Organic"/>
    <x v="0"/>
    <n v="0"/>
    <n v="0"/>
    <n v="0"/>
    <n v="0"/>
    <n v="0"/>
    <n v="0"/>
    <n v="0"/>
    <m/>
    <n v="37.9"/>
  </r>
  <r>
    <x v="964"/>
    <d v="2025-03-01T00:00:00"/>
    <x v="1"/>
    <s v="North"/>
    <s v="Desktop"/>
    <s v="Social"/>
    <x v="1"/>
    <n v="1"/>
    <n v="0"/>
    <n v="0"/>
    <n v="0"/>
    <n v="0"/>
    <n v="0"/>
    <n v="0"/>
    <m/>
    <n v="59.8"/>
  </r>
  <r>
    <x v="965"/>
    <d v="2025-05-07T00:00:00"/>
    <x v="1"/>
    <s v="North"/>
    <s v="Mobile"/>
    <s v="Organic"/>
    <x v="0"/>
    <n v="0"/>
    <n v="0"/>
    <n v="0"/>
    <n v="0"/>
    <n v="0"/>
    <n v="0"/>
    <n v="0"/>
    <m/>
    <n v="66.900000000000006"/>
  </r>
  <r>
    <x v="966"/>
    <d v="2025-02-19T00:00:00"/>
    <x v="1"/>
    <s v="South"/>
    <s v="Desktop"/>
    <m/>
    <x v="1"/>
    <n v="1"/>
    <n v="0"/>
    <n v="0"/>
    <n v="0"/>
    <n v="0"/>
    <n v="0"/>
    <n v="0"/>
    <m/>
    <n v="59"/>
  </r>
  <r>
    <x v="967"/>
    <d v="2025-02-26T00:00:00"/>
    <x v="1"/>
    <s v="West"/>
    <s v="Mobile"/>
    <s v="Organic"/>
    <x v="2"/>
    <n v="1"/>
    <n v="0"/>
    <n v="0"/>
    <n v="0"/>
    <n v="0"/>
    <n v="0"/>
    <n v="0"/>
    <m/>
    <n v="80.099999999999994"/>
  </r>
  <r>
    <x v="968"/>
    <d v="2025-03-23T00:00:00"/>
    <x v="1"/>
    <s v="South"/>
    <s v="Mobile"/>
    <s v="Social"/>
    <x v="1"/>
    <n v="0"/>
    <n v="0"/>
    <n v="0"/>
    <n v="0"/>
    <n v="0"/>
    <n v="0"/>
    <n v="0"/>
    <m/>
    <n v="64.3"/>
  </r>
  <r>
    <x v="969"/>
    <d v="2025-04-25T00:00:00"/>
    <x v="1"/>
    <s v="South"/>
    <s v="Desktop"/>
    <s v="Social"/>
    <x v="1"/>
    <n v="0"/>
    <n v="0"/>
    <n v="0"/>
    <n v="0"/>
    <n v="0"/>
    <n v="1"/>
    <n v="0"/>
    <m/>
    <n v="57.4"/>
  </r>
  <r>
    <x v="970"/>
    <d v="2025-05-10T00:00:00"/>
    <x v="1"/>
    <s v="North"/>
    <s v="Desktop"/>
    <s v="Social"/>
    <x v="1"/>
    <n v="1"/>
    <n v="1"/>
    <n v="1"/>
    <n v="0"/>
    <n v="0"/>
    <n v="0"/>
    <n v="0"/>
    <m/>
    <n v="83.6"/>
  </r>
  <r>
    <x v="971"/>
    <d v="2025-04-22T00:00:00"/>
    <x v="1"/>
    <s v="East"/>
    <s v="Mobile"/>
    <s v="Paid Search"/>
    <x v="2"/>
    <n v="0"/>
    <n v="0"/>
    <n v="0"/>
    <n v="0"/>
    <n v="0"/>
    <n v="0"/>
    <n v="0"/>
    <m/>
    <n v="45.8"/>
  </r>
  <r>
    <x v="972"/>
    <d v="2025-02-18T00:00:00"/>
    <x v="1"/>
    <s v="West"/>
    <s v="Mobile"/>
    <s v="Referral"/>
    <x v="0"/>
    <n v="1"/>
    <n v="1"/>
    <n v="1"/>
    <n v="0"/>
    <n v="0"/>
    <n v="0"/>
    <n v="0"/>
    <m/>
    <n v="64.3"/>
  </r>
  <r>
    <x v="973"/>
    <d v="2025-01-26T00:00:00"/>
    <x v="1"/>
    <s v="South"/>
    <s v="Mobile"/>
    <s v="Paid Search"/>
    <x v="2"/>
    <n v="1"/>
    <n v="1"/>
    <n v="1"/>
    <n v="0"/>
    <n v="0"/>
    <n v="0"/>
    <n v="0"/>
    <m/>
    <n v="80.5"/>
  </r>
  <r>
    <x v="974"/>
    <d v="2025-04-28T00:00:00"/>
    <x v="1"/>
    <s v="North"/>
    <s v="Mobile"/>
    <s v="Organic"/>
    <x v="1"/>
    <n v="1"/>
    <n v="0"/>
    <n v="0"/>
    <n v="0"/>
    <n v="0"/>
    <n v="0"/>
    <n v="0"/>
    <m/>
    <n v="46.3"/>
  </r>
  <r>
    <x v="975"/>
    <d v="2025-04-02T00:00:00"/>
    <x v="1"/>
    <s v="South"/>
    <s v="Desktop"/>
    <s v="Email"/>
    <x v="0"/>
    <n v="1"/>
    <n v="0"/>
    <n v="0"/>
    <n v="0"/>
    <n v="0"/>
    <n v="0"/>
    <n v="0"/>
    <m/>
    <n v="71.599999999999994"/>
  </r>
  <r>
    <x v="976"/>
    <d v="2025-04-12T00:00:00"/>
    <x v="1"/>
    <s v="South"/>
    <s v="Desktop"/>
    <s v="Email"/>
    <x v="2"/>
    <n v="1"/>
    <n v="1"/>
    <n v="0"/>
    <n v="0"/>
    <n v="0"/>
    <n v="0"/>
    <n v="0"/>
    <m/>
    <n v="57.8"/>
  </r>
  <r>
    <x v="977"/>
    <d v="2025-01-03T00:00:00"/>
    <x v="1"/>
    <s v="West"/>
    <s v="Desktop"/>
    <s v="Email"/>
    <x v="0"/>
    <n v="1"/>
    <n v="1"/>
    <n v="1"/>
    <n v="0"/>
    <n v="0"/>
    <n v="1"/>
    <n v="0"/>
    <m/>
    <n v="57.8"/>
  </r>
  <r>
    <x v="978"/>
    <d v="2025-05-08T00:00:00"/>
    <x v="1"/>
    <s v="North"/>
    <s v="Mobile"/>
    <s v="Paid Search"/>
    <x v="1"/>
    <n v="1"/>
    <n v="0"/>
    <n v="0"/>
    <n v="0"/>
    <n v="0"/>
    <n v="0"/>
    <n v="0"/>
    <m/>
    <n v="38.299999999999997"/>
  </r>
  <r>
    <x v="979"/>
    <d v="2025-02-20T00:00:00"/>
    <x v="1"/>
    <s v="North"/>
    <s v="Mobile"/>
    <s v="Referral"/>
    <x v="2"/>
    <n v="1"/>
    <n v="0"/>
    <n v="0"/>
    <n v="0"/>
    <n v="0"/>
    <n v="1"/>
    <n v="0"/>
    <m/>
    <n v="66.099999999999994"/>
  </r>
  <r>
    <x v="980"/>
    <d v="2025-03-17T00:00:00"/>
    <x v="1"/>
    <s v="North"/>
    <s v="Desktop"/>
    <s v="Paid Search"/>
    <x v="2"/>
    <n v="1"/>
    <n v="0"/>
    <n v="0"/>
    <n v="0"/>
    <n v="0"/>
    <n v="0"/>
    <n v="0"/>
    <m/>
    <n v="66.5"/>
  </r>
  <r>
    <x v="981"/>
    <d v="2025-04-10T00:00:00"/>
    <x v="1"/>
    <s v="South"/>
    <s v="Desktop"/>
    <s v="Email"/>
    <x v="1"/>
    <n v="1"/>
    <n v="0"/>
    <n v="0"/>
    <n v="0"/>
    <n v="0"/>
    <n v="3"/>
    <n v="0"/>
    <m/>
    <n v="51.5"/>
  </r>
  <r>
    <x v="982"/>
    <d v="2025-05-08T00:00:00"/>
    <x v="1"/>
    <s v="North"/>
    <s v="Desktop"/>
    <s v="Referral"/>
    <x v="1"/>
    <n v="1"/>
    <n v="0"/>
    <n v="0"/>
    <n v="0"/>
    <n v="0"/>
    <n v="0"/>
    <n v="0"/>
    <m/>
    <n v="59.9"/>
  </r>
  <r>
    <x v="983"/>
    <d v="2025-04-19T00:00:00"/>
    <x v="1"/>
    <s v="West"/>
    <s v="Mobile"/>
    <s v="Paid Search"/>
    <x v="0"/>
    <n v="1"/>
    <n v="0"/>
    <n v="0"/>
    <n v="0"/>
    <n v="0"/>
    <n v="0"/>
    <n v="0"/>
    <m/>
    <n v="58.8"/>
  </r>
  <r>
    <x v="984"/>
    <d v="2025-01-01T00:00:00"/>
    <x v="1"/>
    <s v="South"/>
    <s v="Tablet"/>
    <s v="Paid Search"/>
    <x v="0"/>
    <n v="1"/>
    <n v="0"/>
    <n v="0"/>
    <n v="0"/>
    <n v="0"/>
    <n v="0"/>
    <n v="0"/>
    <m/>
    <n v="69.599999999999994"/>
  </r>
  <r>
    <x v="985"/>
    <d v="2025-03-10T00:00:00"/>
    <x v="1"/>
    <s v="East"/>
    <s v="Mobile"/>
    <s v="Paid Search"/>
    <x v="1"/>
    <n v="1"/>
    <n v="0"/>
    <n v="0"/>
    <n v="0"/>
    <n v="0"/>
    <n v="0"/>
    <n v="0"/>
    <m/>
    <n v="77.5"/>
  </r>
  <r>
    <x v="986"/>
    <d v="2025-03-10T00:00:00"/>
    <x v="1"/>
    <s v="East"/>
    <s v="Tablet"/>
    <s v="Social"/>
    <x v="2"/>
    <n v="0"/>
    <n v="0"/>
    <n v="0"/>
    <n v="0"/>
    <n v="0"/>
    <n v="2"/>
    <n v="0"/>
    <m/>
    <n v="57.5"/>
  </r>
  <r>
    <x v="987"/>
    <d v="2025-04-19T00:00:00"/>
    <x v="1"/>
    <s v="West"/>
    <s v="Tablet"/>
    <s v="Email"/>
    <x v="0"/>
    <n v="1"/>
    <n v="0"/>
    <n v="0"/>
    <n v="0"/>
    <n v="0"/>
    <n v="0"/>
    <n v="0"/>
    <m/>
    <n v="64.2"/>
  </r>
  <r>
    <x v="988"/>
    <d v="2025-04-11T00:00:00"/>
    <x v="1"/>
    <s v="West"/>
    <s v="Desktop"/>
    <s v="Organic"/>
    <x v="1"/>
    <n v="0"/>
    <n v="0"/>
    <n v="0"/>
    <n v="0"/>
    <n v="0"/>
    <n v="0"/>
    <n v="0"/>
    <m/>
    <n v="60"/>
  </r>
  <r>
    <x v="989"/>
    <d v="2025-04-10T00:00:00"/>
    <x v="1"/>
    <s v="East"/>
    <s v="Mobile"/>
    <s v="Organic"/>
    <x v="0"/>
    <n v="1"/>
    <n v="0"/>
    <n v="0"/>
    <n v="0"/>
    <n v="0"/>
    <n v="1"/>
    <n v="0"/>
    <m/>
    <n v="43.7"/>
  </r>
  <r>
    <x v="990"/>
    <d v="2025-01-13T00:00:00"/>
    <x v="1"/>
    <s v="West"/>
    <s v="Desktop"/>
    <s v="Social"/>
    <x v="1"/>
    <n v="1"/>
    <n v="0"/>
    <n v="0"/>
    <n v="0"/>
    <n v="0"/>
    <n v="0"/>
    <n v="0"/>
    <m/>
    <n v="64.900000000000006"/>
  </r>
  <r>
    <x v="991"/>
    <d v="2025-03-28T00:00:00"/>
    <x v="1"/>
    <s v="South"/>
    <s v="Desktop"/>
    <s v="Organic"/>
    <x v="1"/>
    <n v="1"/>
    <n v="1"/>
    <n v="0"/>
    <n v="0"/>
    <n v="0"/>
    <n v="0"/>
    <n v="0"/>
    <m/>
    <n v="45.5"/>
  </r>
  <r>
    <x v="992"/>
    <d v="2025-01-29T00:00:00"/>
    <x v="1"/>
    <s v="East"/>
    <s v="Mobile"/>
    <s v="Paid Search"/>
    <x v="1"/>
    <n v="1"/>
    <n v="1"/>
    <n v="1"/>
    <n v="1"/>
    <n v="1772.97"/>
    <n v="0"/>
    <n v="0"/>
    <n v="8"/>
    <n v="61.2"/>
  </r>
  <r>
    <x v="993"/>
    <d v="2025-03-27T00:00:00"/>
    <x v="1"/>
    <s v="South"/>
    <s v="Mobile"/>
    <s v="Referral"/>
    <x v="1"/>
    <n v="0"/>
    <n v="0"/>
    <n v="0"/>
    <n v="0"/>
    <n v="0"/>
    <n v="0"/>
    <n v="0"/>
    <m/>
    <n v="87.8"/>
  </r>
  <r>
    <x v="994"/>
    <d v="2025-03-20T00:00:00"/>
    <x v="1"/>
    <s v="East"/>
    <s v="Tablet"/>
    <s v="Social"/>
    <x v="1"/>
    <n v="0"/>
    <n v="0"/>
    <n v="0"/>
    <n v="0"/>
    <n v="0"/>
    <n v="0"/>
    <n v="0"/>
    <m/>
    <n v="86.4"/>
  </r>
  <r>
    <x v="995"/>
    <d v="2025-01-09T00:00:00"/>
    <x v="1"/>
    <s v="North"/>
    <s v="Mobile"/>
    <s v="Paid Search"/>
    <x v="0"/>
    <n v="0"/>
    <n v="0"/>
    <n v="0"/>
    <n v="0"/>
    <n v="0"/>
    <n v="1"/>
    <n v="0"/>
    <m/>
    <n v="71.400000000000006"/>
  </r>
  <r>
    <x v="996"/>
    <d v="2025-04-25T00:00:00"/>
    <x v="1"/>
    <s v="West"/>
    <s v="Mobile"/>
    <s v="Social"/>
    <x v="1"/>
    <n v="1"/>
    <n v="1"/>
    <n v="1"/>
    <n v="1"/>
    <n v="218.66"/>
    <n v="0"/>
    <n v="1"/>
    <n v="8"/>
    <n v="72.2"/>
  </r>
  <r>
    <x v="997"/>
    <d v="2025-04-11T00:00:00"/>
    <x v="1"/>
    <s v="South"/>
    <s v="Desktop"/>
    <s v="Social"/>
    <x v="1"/>
    <n v="1"/>
    <n v="0"/>
    <n v="0"/>
    <n v="0"/>
    <n v="0"/>
    <n v="0"/>
    <n v="0"/>
    <m/>
    <n v="51.9"/>
  </r>
  <r>
    <x v="998"/>
    <d v="2025-02-05T00:00:00"/>
    <x v="1"/>
    <s v="East"/>
    <s v="Mobile"/>
    <s v="Social"/>
    <x v="0"/>
    <n v="1"/>
    <n v="1"/>
    <n v="1"/>
    <n v="0"/>
    <n v="0"/>
    <n v="0"/>
    <n v="0"/>
    <m/>
    <n v="70.3"/>
  </r>
  <r>
    <x v="999"/>
    <d v="2025-03-28T00:00:00"/>
    <x v="1"/>
    <s v="South"/>
    <s v="Mobile"/>
    <s v="Social"/>
    <x v="2"/>
    <n v="1"/>
    <n v="0"/>
    <n v="0"/>
    <n v="0"/>
    <n v="0"/>
    <n v="1"/>
    <n v="0"/>
    <m/>
    <n v="49.2"/>
  </r>
  <r>
    <x v="1000"/>
    <d v="2025-05-14T00:00:00"/>
    <x v="1"/>
    <s v="South"/>
    <s v="Mobile"/>
    <s v="Referral"/>
    <x v="1"/>
    <n v="0"/>
    <n v="0"/>
    <n v="0"/>
    <n v="0"/>
    <n v="0"/>
    <n v="0"/>
    <n v="0"/>
    <m/>
    <n v="52.2"/>
  </r>
  <r>
    <x v="1001"/>
    <d v="2025-03-10T00:00:00"/>
    <x v="1"/>
    <s v="East"/>
    <s v="Mobile"/>
    <s v="Paid Search"/>
    <x v="0"/>
    <n v="0"/>
    <n v="0"/>
    <n v="0"/>
    <n v="0"/>
    <n v="0"/>
    <n v="1"/>
    <n v="0"/>
    <m/>
    <n v="62.6"/>
  </r>
  <r>
    <x v="1002"/>
    <d v="2025-04-09T00:00:00"/>
    <x v="1"/>
    <s v="East"/>
    <s v="Desktop"/>
    <s v="Paid Search"/>
    <x v="1"/>
    <n v="1"/>
    <n v="1"/>
    <n v="0"/>
    <n v="0"/>
    <n v="0"/>
    <n v="0"/>
    <n v="0"/>
    <m/>
    <n v="100"/>
  </r>
  <r>
    <x v="1003"/>
    <d v="2025-02-13T00:00:00"/>
    <x v="1"/>
    <s v="North"/>
    <s v="Mobile"/>
    <s v="Referral"/>
    <x v="0"/>
    <n v="1"/>
    <n v="1"/>
    <n v="1"/>
    <n v="0"/>
    <n v="0"/>
    <n v="2"/>
    <n v="0"/>
    <m/>
    <n v="45.9"/>
  </r>
  <r>
    <x v="1004"/>
    <d v="2025-05-03T00:00:00"/>
    <x v="1"/>
    <s v="East"/>
    <s v="Mobile"/>
    <s v="Email"/>
    <x v="1"/>
    <n v="1"/>
    <n v="1"/>
    <n v="1"/>
    <n v="0"/>
    <n v="0"/>
    <n v="0"/>
    <n v="0"/>
    <m/>
    <n v="80.7"/>
  </r>
  <r>
    <x v="1005"/>
    <d v="2025-04-16T00:00:00"/>
    <x v="1"/>
    <s v="South"/>
    <s v="Desktop"/>
    <s v="Referral"/>
    <x v="2"/>
    <n v="1"/>
    <n v="0"/>
    <n v="0"/>
    <n v="0"/>
    <n v="0"/>
    <n v="0"/>
    <n v="0"/>
    <m/>
    <n v="51.9"/>
  </r>
  <r>
    <x v="1006"/>
    <d v="2025-04-30T00:00:00"/>
    <x v="1"/>
    <s v="North"/>
    <s v="Mobile"/>
    <s v="Paid Search"/>
    <x v="2"/>
    <n v="1"/>
    <n v="0"/>
    <n v="0"/>
    <n v="0"/>
    <n v="0"/>
    <n v="0"/>
    <n v="0"/>
    <m/>
    <n v="68.900000000000006"/>
  </r>
  <r>
    <x v="1007"/>
    <d v="2025-02-18T00:00:00"/>
    <x v="1"/>
    <s v="West"/>
    <s v="Desktop"/>
    <s v="Organic"/>
    <x v="1"/>
    <n v="1"/>
    <n v="0"/>
    <n v="0"/>
    <n v="0"/>
    <n v="0"/>
    <n v="0"/>
    <n v="0"/>
    <m/>
    <n v="66"/>
  </r>
  <r>
    <x v="1008"/>
    <d v="2025-05-22T00:00:00"/>
    <x v="1"/>
    <s v="West"/>
    <s v="Desktop"/>
    <s v="Referral"/>
    <x v="0"/>
    <n v="0"/>
    <n v="0"/>
    <n v="0"/>
    <n v="0"/>
    <n v="0"/>
    <n v="0"/>
    <n v="0"/>
    <m/>
    <n v="63.1"/>
  </r>
  <r>
    <x v="1009"/>
    <d v="2025-05-21T00:00:00"/>
    <x v="1"/>
    <s v="South"/>
    <s v="Desktop"/>
    <s v="Organic"/>
    <x v="1"/>
    <n v="0"/>
    <n v="0"/>
    <n v="0"/>
    <n v="0"/>
    <n v="0"/>
    <n v="0"/>
    <n v="0"/>
    <m/>
    <n v="56"/>
  </r>
  <r>
    <x v="1010"/>
    <d v="2025-04-10T00:00:00"/>
    <x v="1"/>
    <s v="East"/>
    <s v="Desktop"/>
    <s v="Organic"/>
    <x v="1"/>
    <n v="1"/>
    <n v="0"/>
    <n v="0"/>
    <n v="0"/>
    <n v="0"/>
    <n v="1"/>
    <n v="0"/>
    <m/>
    <n v="65.7"/>
  </r>
  <r>
    <x v="1011"/>
    <d v="2025-01-07T00:00:00"/>
    <x v="1"/>
    <s v="North"/>
    <s v="Desktop"/>
    <s v="Organic"/>
    <x v="2"/>
    <n v="1"/>
    <n v="1"/>
    <n v="1"/>
    <n v="1"/>
    <n v="1938.31"/>
    <n v="1"/>
    <n v="0"/>
    <n v="9"/>
    <n v="60.9"/>
  </r>
  <r>
    <x v="1012"/>
    <d v="2025-02-03T00:00:00"/>
    <x v="1"/>
    <s v="South"/>
    <s v="Desktop"/>
    <s v="Social"/>
    <x v="1"/>
    <n v="0"/>
    <n v="0"/>
    <n v="0"/>
    <n v="0"/>
    <n v="0"/>
    <n v="0"/>
    <n v="0"/>
    <m/>
    <n v="45.5"/>
  </r>
  <r>
    <x v="1013"/>
    <d v="2025-05-18T00:00:00"/>
    <x v="1"/>
    <s v="North"/>
    <s v="Mobile"/>
    <s v="Paid Search"/>
    <x v="1"/>
    <n v="1"/>
    <n v="0"/>
    <n v="0"/>
    <n v="0"/>
    <n v="0"/>
    <n v="0"/>
    <n v="0"/>
    <m/>
    <n v="50"/>
  </r>
  <r>
    <x v="1014"/>
    <d v="2025-01-31T00:00:00"/>
    <x v="1"/>
    <s v="North"/>
    <s v="Mobile"/>
    <s v="Referral"/>
    <x v="1"/>
    <n v="1"/>
    <n v="0"/>
    <n v="0"/>
    <n v="0"/>
    <n v="0"/>
    <n v="0"/>
    <n v="0"/>
    <m/>
    <n v="72.099999999999994"/>
  </r>
  <r>
    <x v="1015"/>
    <d v="2025-01-16T00:00:00"/>
    <x v="1"/>
    <s v="South"/>
    <s v="Desktop"/>
    <s v="Organic"/>
    <x v="0"/>
    <n v="1"/>
    <n v="0"/>
    <n v="0"/>
    <n v="0"/>
    <n v="0"/>
    <n v="0"/>
    <n v="0"/>
    <m/>
    <n v="76.3"/>
  </r>
  <r>
    <x v="1016"/>
    <d v="2025-05-14T00:00:00"/>
    <x v="1"/>
    <s v="East"/>
    <s v="Mobile"/>
    <s v="Paid Search"/>
    <x v="0"/>
    <n v="1"/>
    <n v="1"/>
    <n v="0"/>
    <n v="0"/>
    <n v="0"/>
    <n v="1"/>
    <n v="0"/>
    <m/>
    <n v="54.8"/>
  </r>
  <r>
    <x v="1017"/>
    <d v="2025-04-01T00:00:00"/>
    <x v="1"/>
    <s v="South"/>
    <s v="Mobile"/>
    <m/>
    <x v="0"/>
    <n v="1"/>
    <n v="0"/>
    <n v="0"/>
    <n v="0"/>
    <n v="0"/>
    <n v="0"/>
    <n v="0"/>
    <m/>
    <n v="63.6"/>
  </r>
  <r>
    <x v="1018"/>
    <d v="2025-04-23T00:00:00"/>
    <x v="1"/>
    <s v="South"/>
    <s v="Mobile"/>
    <s v="Organic"/>
    <x v="1"/>
    <n v="1"/>
    <n v="0"/>
    <n v="0"/>
    <n v="0"/>
    <n v="0"/>
    <n v="0"/>
    <n v="0"/>
    <m/>
    <n v="68.8"/>
  </r>
  <r>
    <x v="1019"/>
    <d v="2025-03-02T00:00:00"/>
    <x v="1"/>
    <s v="South"/>
    <s v="Desktop"/>
    <s v="Paid Search"/>
    <x v="0"/>
    <n v="1"/>
    <n v="0"/>
    <n v="0"/>
    <n v="0"/>
    <n v="0"/>
    <n v="0"/>
    <n v="0"/>
    <m/>
    <n v="63.2"/>
  </r>
  <r>
    <x v="1020"/>
    <d v="2025-01-02T00:00:00"/>
    <x v="1"/>
    <s v="East"/>
    <s v="Mobile"/>
    <s v="Paid Search"/>
    <x v="0"/>
    <n v="0"/>
    <n v="0"/>
    <n v="0"/>
    <n v="0"/>
    <n v="0"/>
    <n v="0"/>
    <n v="0"/>
    <m/>
    <n v="45"/>
  </r>
  <r>
    <x v="1021"/>
    <d v="2025-05-04T00:00:00"/>
    <x v="1"/>
    <s v="South"/>
    <s v="Mobile"/>
    <s v="Organic"/>
    <x v="1"/>
    <n v="1"/>
    <n v="0"/>
    <n v="0"/>
    <n v="0"/>
    <n v="0"/>
    <n v="0"/>
    <n v="0"/>
    <m/>
    <n v="77.400000000000006"/>
  </r>
  <r>
    <x v="1022"/>
    <d v="2025-01-16T00:00:00"/>
    <x v="1"/>
    <s v="East"/>
    <s v="Desktop"/>
    <s v="Paid Search"/>
    <x v="0"/>
    <n v="0"/>
    <n v="0"/>
    <n v="0"/>
    <n v="0"/>
    <n v="0"/>
    <n v="0"/>
    <n v="0"/>
    <m/>
    <n v="53.1"/>
  </r>
  <r>
    <x v="1023"/>
    <d v="2025-02-11T00:00:00"/>
    <x v="1"/>
    <s v="West"/>
    <s v="Tablet"/>
    <s v="Paid Search"/>
    <x v="2"/>
    <n v="0"/>
    <n v="0"/>
    <n v="0"/>
    <n v="0"/>
    <n v="0"/>
    <n v="0"/>
    <n v="0"/>
    <m/>
    <n v="74"/>
  </r>
  <r>
    <x v="1024"/>
    <d v="2025-04-03T00:00:00"/>
    <x v="1"/>
    <s v="North"/>
    <s v="Mobile"/>
    <s v="Social"/>
    <x v="2"/>
    <n v="1"/>
    <n v="1"/>
    <n v="1"/>
    <n v="1"/>
    <n v="1906.23"/>
    <n v="0"/>
    <n v="0"/>
    <n v="4"/>
    <n v="84.6"/>
  </r>
  <r>
    <x v="1025"/>
    <d v="2025-03-26T00:00:00"/>
    <x v="1"/>
    <s v="East"/>
    <s v="Mobile"/>
    <s v="Referral"/>
    <x v="1"/>
    <n v="1"/>
    <n v="0"/>
    <n v="0"/>
    <n v="0"/>
    <n v="0"/>
    <n v="0"/>
    <n v="0"/>
    <m/>
    <n v="57"/>
  </r>
  <r>
    <x v="1026"/>
    <d v="2025-05-16T00:00:00"/>
    <x v="1"/>
    <s v="South"/>
    <s v="Mobile"/>
    <s v="Email"/>
    <x v="2"/>
    <n v="0"/>
    <n v="0"/>
    <n v="0"/>
    <n v="0"/>
    <n v="0"/>
    <n v="0"/>
    <n v="0"/>
    <m/>
    <n v="46.3"/>
  </r>
  <r>
    <x v="1027"/>
    <d v="2025-04-20T00:00:00"/>
    <x v="1"/>
    <s v="West"/>
    <s v="Mobile"/>
    <s v="Social"/>
    <x v="1"/>
    <n v="0"/>
    <n v="0"/>
    <n v="0"/>
    <n v="0"/>
    <n v="0"/>
    <n v="1"/>
    <n v="0"/>
    <m/>
    <n v="64.400000000000006"/>
  </r>
  <r>
    <x v="1028"/>
    <d v="2025-04-15T00:00:00"/>
    <x v="1"/>
    <s v="West"/>
    <s v="Mobile"/>
    <s v="Paid Search"/>
    <x v="1"/>
    <n v="1"/>
    <n v="0"/>
    <n v="0"/>
    <n v="0"/>
    <n v="0"/>
    <n v="2"/>
    <n v="0"/>
    <m/>
    <n v="61.9"/>
  </r>
  <r>
    <x v="1029"/>
    <d v="2025-01-24T00:00:00"/>
    <x v="1"/>
    <s v="North"/>
    <s v="Mobile"/>
    <s v="Organic"/>
    <x v="2"/>
    <n v="1"/>
    <n v="1"/>
    <n v="1"/>
    <n v="0"/>
    <n v="0"/>
    <n v="0"/>
    <n v="0"/>
    <m/>
    <n v="93.7"/>
  </r>
  <r>
    <x v="1030"/>
    <d v="2025-04-11T00:00:00"/>
    <x v="1"/>
    <s v="South"/>
    <s v="Mobile"/>
    <s v="Referral"/>
    <x v="0"/>
    <n v="0"/>
    <n v="0"/>
    <n v="0"/>
    <n v="0"/>
    <n v="0"/>
    <n v="0"/>
    <n v="0"/>
    <m/>
    <n v="61.6"/>
  </r>
  <r>
    <x v="1031"/>
    <d v="2025-05-19T00:00:00"/>
    <x v="1"/>
    <s v="North"/>
    <s v="Mobile"/>
    <s v="Paid Search"/>
    <x v="1"/>
    <n v="1"/>
    <n v="0"/>
    <n v="0"/>
    <n v="0"/>
    <n v="0"/>
    <n v="0"/>
    <n v="0"/>
    <m/>
    <n v="72.2"/>
  </r>
  <r>
    <x v="1032"/>
    <d v="2025-01-14T00:00:00"/>
    <x v="1"/>
    <s v="North"/>
    <s v="Mobile"/>
    <s v="Organic"/>
    <x v="0"/>
    <n v="0"/>
    <n v="0"/>
    <n v="0"/>
    <n v="0"/>
    <n v="0"/>
    <n v="0"/>
    <n v="0"/>
    <m/>
    <n v="69.5"/>
  </r>
  <r>
    <x v="1033"/>
    <d v="2025-02-28T00:00:00"/>
    <x v="1"/>
    <s v="East"/>
    <s v="Desktop"/>
    <s v="Organic"/>
    <x v="0"/>
    <n v="0"/>
    <n v="0"/>
    <n v="0"/>
    <n v="0"/>
    <n v="0"/>
    <n v="0"/>
    <n v="0"/>
    <m/>
    <n v="59.7"/>
  </r>
  <r>
    <x v="1034"/>
    <d v="2025-05-18T00:00:00"/>
    <x v="1"/>
    <s v="East"/>
    <s v="Tablet"/>
    <s v="Paid Search"/>
    <x v="0"/>
    <n v="1"/>
    <n v="0"/>
    <n v="0"/>
    <n v="0"/>
    <n v="0"/>
    <n v="0"/>
    <n v="0"/>
    <m/>
    <n v="73.900000000000006"/>
  </r>
  <r>
    <x v="1035"/>
    <d v="2025-01-04T00:00:00"/>
    <x v="1"/>
    <s v="North"/>
    <s v="Mobile"/>
    <s v="Social"/>
    <x v="1"/>
    <n v="0"/>
    <n v="0"/>
    <n v="0"/>
    <n v="0"/>
    <n v="0"/>
    <n v="0"/>
    <n v="0"/>
    <m/>
    <n v="41.5"/>
  </r>
  <r>
    <x v="1036"/>
    <d v="2025-01-16T00:00:00"/>
    <x v="1"/>
    <s v="West"/>
    <s v="Mobile"/>
    <s v="Social"/>
    <x v="2"/>
    <n v="1"/>
    <n v="0"/>
    <n v="0"/>
    <n v="0"/>
    <n v="0"/>
    <n v="0"/>
    <n v="0"/>
    <m/>
    <n v="82.8"/>
  </r>
  <r>
    <x v="1037"/>
    <d v="2025-03-14T00:00:00"/>
    <x v="1"/>
    <s v="West"/>
    <s v="Mobile"/>
    <s v="Social"/>
    <x v="2"/>
    <n v="1"/>
    <n v="0"/>
    <n v="0"/>
    <n v="0"/>
    <n v="0"/>
    <n v="3"/>
    <n v="0"/>
    <m/>
    <n v="70.2"/>
  </r>
  <r>
    <x v="1038"/>
    <d v="2025-01-23T00:00:00"/>
    <x v="1"/>
    <s v="East"/>
    <s v="Mobile"/>
    <s v="Paid Search"/>
    <x v="0"/>
    <n v="1"/>
    <n v="0"/>
    <n v="0"/>
    <n v="0"/>
    <n v="0"/>
    <n v="1"/>
    <n v="0"/>
    <m/>
    <n v="69.400000000000006"/>
  </r>
  <r>
    <x v="1039"/>
    <d v="2025-02-03T00:00:00"/>
    <x v="1"/>
    <s v="North"/>
    <s v="Desktop"/>
    <s v="Organic"/>
    <x v="0"/>
    <n v="1"/>
    <n v="0"/>
    <n v="0"/>
    <n v="0"/>
    <n v="0"/>
    <n v="0"/>
    <n v="0"/>
    <m/>
    <n v="60.4"/>
  </r>
  <r>
    <x v="1040"/>
    <d v="2025-05-16T00:00:00"/>
    <x v="1"/>
    <s v="East"/>
    <s v="Mobile"/>
    <s v="Referral"/>
    <x v="1"/>
    <n v="1"/>
    <n v="0"/>
    <n v="0"/>
    <n v="0"/>
    <n v="0"/>
    <n v="0"/>
    <n v="0"/>
    <m/>
    <n v="45.7"/>
  </r>
  <r>
    <x v="1041"/>
    <d v="2025-01-11T00:00:00"/>
    <x v="1"/>
    <s v="West"/>
    <s v="Mobile"/>
    <s v="Organic"/>
    <x v="0"/>
    <n v="0"/>
    <n v="0"/>
    <n v="0"/>
    <n v="0"/>
    <n v="0"/>
    <n v="1"/>
    <n v="0"/>
    <m/>
    <n v="42.2"/>
  </r>
  <r>
    <x v="1042"/>
    <d v="2025-05-25T00:00:00"/>
    <x v="1"/>
    <s v="North"/>
    <s v="Desktop"/>
    <s v="Organic"/>
    <x v="1"/>
    <n v="0"/>
    <n v="0"/>
    <n v="0"/>
    <n v="0"/>
    <n v="0"/>
    <n v="2"/>
    <n v="0"/>
    <m/>
    <n v="61.9"/>
  </r>
  <r>
    <x v="1043"/>
    <d v="2025-05-08T00:00:00"/>
    <x v="1"/>
    <s v="East"/>
    <s v="Mobile"/>
    <s v="Paid Search"/>
    <x v="2"/>
    <n v="0"/>
    <n v="0"/>
    <n v="0"/>
    <n v="0"/>
    <n v="0"/>
    <n v="0"/>
    <n v="0"/>
    <m/>
    <n v="44.9"/>
  </r>
  <r>
    <x v="1044"/>
    <d v="2025-02-26T00:00:00"/>
    <x v="1"/>
    <s v="East"/>
    <s v="Desktop"/>
    <m/>
    <x v="0"/>
    <n v="1"/>
    <n v="0"/>
    <n v="0"/>
    <n v="0"/>
    <n v="0"/>
    <n v="0"/>
    <n v="0"/>
    <m/>
    <n v="68"/>
  </r>
  <r>
    <x v="1045"/>
    <d v="2025-03-30T00:00:00"/>
    <x v="1"/>
    <s v="North"/>
    <s v="Mobile"/>
    <s v="Paid Search"/>
    <x v="1"/>
    <n v="1"/>
    <n v="0"/>
    <n v="0"/>
    <n v="0"/>
    <n v="0"/>
    <n v="0"/>
    <n v="0"/>
    <m/>
    <n v="61"/>
  </r>
  <r>
    <x v="1046"/>
    <d v="2025-04-13T00:00:00"/>
    <x v="1"/>
    <s v="West"/>
    <s v="Mobile"/>
    <s v="Organic"/>
    <x v="0"/>
    <n v="1"/>
    <n v="0"/>
    <n v="0"/>
    <n v="0"/>
    <n v="0"/>
    <n v="0"/>
    <n v="0"/>
    <m/>
    <n v="55"/>
  </r>
  <r>
    <x v="1047"/>
    <d v="2025-02-20T00:00:00"/>
    <x v="1"/>
    <s v="East"/>
    <m/>
    <s v="Paid Search"/>
    <x v="0"/>
    <n v="1"/>
    <n v="0"/>
    <n v="0"/>
    <n v="0"/>
    <n v="0"/>
    <n v="0"/>
    <n v="0"/>
    <m/>
    <n v="63.1"/>
  </r>
  <r>
    <x v="1048"/>
    <d v="2025-04-19T00:00:00"/>
    <x v="1"/>
    <s v="West"/>
    <s v="Desktop"/>
    <s v="Social"/>
    <x v="1"/>
    <n v="1"/>
    <n v="0"/>
    <n v="0"/>
    <n v="0"/>
    <n v="0"/>
    <n v="0"/>
    <n v="0"/>
    <m/>
    <n v="75.8"/>
  </r>
  <r>
    <x v="1049"/>
    <d v="2025-03-22T00:00:00"/>
    <x v="1"/>
    <s v="South"/>
    <s v="Mobile"/>
    <s v="Paid Search"/>
    <x v="1"/>
    <n v="1"/>
    <n v="1"/>
    <n v="0"/>
    <n v="0"/>
    <n v="0"/>
    <n v="1"/>
    <n v="0"/>
    <m/>
    <n v="43.8"/>
  </r>
  <r>
    <x v="1050"/>
    <d v="2025-02-28T00:00:00"/>
    <x v="1"/>
    <s v="North"/>
    <s v="Mobile"/>
    <s v="Email"/>
    <x v="0"/>
    <n v="1"/>
    <n v="1"/>
    <n v="0"/>
    <n v="0"/>
    <n v="0"/>
    <n v="0"/>
    <n v="0"/>
    <m/>
    <n v="46.8"/>
  </r>
  <r>
    <x v="1051"/>
    <d v="2025-05-24T00:00:00"/>
    <x v="1"/>
    <s v="East"/>
    <s v="Mobile"/>
    <s v="Social"/>
    <x v="1"/>
    <n v="1"/>
    <n v="1"/>
    <n v="1"/>
    <n v="0"/>
    <n v="0"/>
    <n v="0"/>
    <n v="0"/>
    <m/>
    <n v="97.4"/>
  </r>
  <r>
    <x v="1052"/>
    <d v="2025-02-03T00:00:00"/>
    <x v="1"/>
    <s v="North"/>
    <s v="Desktop"/>
    <s v="Email"/>
    <x v="1"/>
    <n v="1"/>
    <n v="1"/>
    <n v="1"/>
    <n v="1"/>
    <n v="268.95999999999998"/>
    <n v="0"/>
    <n v="0"/>
    <n v="14"/>
    <n v="81"/>
  </r>
  <r>
    <x v="1053"/>
    <d v="2025-01-27T00:00:00"/>
    <x v="1"/>
    <s v="South"/>
    <s v="Mobile"/>
    <s v="Organic"/>
    <x v="1"/>
    <n v="1"/>
    <n v="0"/>
    <n v="0"/>
    <n v="0"/>
    <n v="0"/>
    <n v="1"/>
    <n v="0"/>
    <m/>
    <n v="58.9"/>
  </r>
  <r>
    <x v="1054"/>
    <d v="2025-04-17T00:00:00"/>
    <x v="1"/>
    <s v="East"/>
    <s v="Mobile"/>
    <s v="Organic"/>
    <x v="1"/>
    <n v="1"/>
    <n v="0"/>
    <n v="0"/>
    <n v="0"/>
    <n v="0"/>
    <n v="0"/>
    <n v="0"/>
    <m/>
    <n v="51.9"/>
  </r>
  <r>
    <x v="1055"/>
    <d v="2025-02-06T00:00:00"/>
    <x v="1"/>
    <s v="West"/>
    <s v="Mobile"/>
    <s v="Social"/>
    <x v="1"/>
    <n v="1"/>
    <n v="1"/>
    <n v="0"/>
    <n v="0"/>
    <n v="0"/>
    <n v="0"/>
    <n v="0"/>
    <m/>
    <n v="61.7"/>
  </r>
  <r>
    <x v="1056"/>
    <d v="2025-04-20T00:00:00"/>
    <x v="1"/>
    <s v="South"/>
    <s v="Mobile"/>
    <s v="Paid Search"/>
    <x v="1"/>
    <n v="1"/>
    <n v="0"/>
    <n v="0"/>
    <n v="0"/>
    <n v="0"/>
    <n v="0"/>
    <n v="0"/>
    <m/>
    <n v="44.7"/>
  </r>
  <r>
    <x v="1057"/>
    <d v="2025-05-06T00:00:00"/>
    <x v="1"/>
    <s v="North"/>
    <s v="Mobile"/>
    <s v="Paid Search"/>
    <x v="0"/>
    <n v="0"/>
    <n v="0"/>
    <n v="0"/>
    <n v="0"/>
    <n v="0"/>
    <n v="0"/>
    <n v="0"/>
    <m/>
    <n v="63.2"/>
  </r>
  <r>
    <x v="1058"/>
    <d v="2025-05-16T00:00:00"/>
    <x v="1"/>
    <s v="South"/>
    <s v="Mobile"/>
    <s v="Organic"/>
    <x v="1"/>
    <n v="1"/>
    <n v="0"/>
    <n v="0"/>
    <n v="0"/>
    <n v="0"/>
    <n v="0"/>
    <n v="0"/>
    <m/>
    <n v="70.3"/>
  </r>
  <r>
    <x v="1059"/>
    <d v="2025-03-02T00:00:00"/>
    <x v="1"/>
    <s v="South"/>
    <s v="Mobile"/>
    <s v="Paid Search"/>
    <x v="2"/>
    <n v="1"/>
    <n v="1"/>
    <n v="0"/>
    <n v="0"/>
    <n v="0"/>
    <n v="1"/>
    <n v="0"/>
    <m/>
    <n v="83.1"/>
  </r>
  <r>
    <x v="1060"/>
    <d v="2025-04-09T00:00:00"/>
    <x v="1"/>
    <s v="West"/>
    <s v="Mobile"/>
    <s v="Social"/>
    <x v="1"/>
    <n v="0"/>
    <n v="0"/>
    <n v="0"/>
    <n v="0"/>
    <n v="0"/>
    <n v="0"/>
    <n v="0"/>
    <m/>
    <n v="50.3"/>
  </r>
  <r>
    <x v="1061"/>
    <d v="2025-01-26T00:00:00"/>
    <x v="1"/>
    <s v="East"/>
    <s v="Mobile"/>
    <s v="Paid Search"/>
    <x v="1"/>
    <n v="1"/>
    <n v="1"/>
    <n v="1"/>
    <n v="1"/>
    <n v="437.09"/>
    <n v="2"/>
    <n v="1"/>
    <n v="1"/>
    <n v="58.2"/>
  </r>
  <r>
    <x v="1062"/>
    <d v="2025-02-25T00:00:00"/>
    <x v="1"/>
    <s v="South"/>
    <s v="Mobile"/>
    <s v="Paid Search"/>
    <x v="0"/>
    <n v="1"/>
    <n v="1"/>
    <n v="1"/>
    <n v="0"/>
    <n v="0"/>
    <n v="0"/>
    <n v="0"/>
    <m/>
    <n v="53.2"/>
  </r>
  <r>
    <x v="1063"/>
    <d v="2025-01-07T00:00:00"/>
    <x v="1"/>
    <s v="East"/>
    <s v="Mobile"/>
    <s v="Organic"/>
    <x v="2"/>
    <n v="0"/>
    <n v="0"/>
    <n v="0"/>
    <n v="0"/>
    <n v="0"/>
    <n v="0"/>
    <n v="0"/>
    <m/>
    <n v="36.4"/>
  </r>
  <r>
    <x v="1064"/>
    <d v="2025-03-08T00:00:00"/>
    <x v="1"/>
    <s v="South"/>
    <s v="Mobile"/>
    <s v="Social"/>
    <x v="0"/>
    <n v="1"/>
    <n v="1"/>
    <n v="1"/>
    <n v="0"/>
    <n v="0"/>
    <n v="0"/>
    <n v="0"/>
    <m/>
    <n v="72.7"/>
  </r>
  <r>
    <x v="1065"/>
    <d v="2025-05-22T00:00:00"/>
    <x v="1"/>
    <s v="East"/>
    <s v="Mobile"/>
    <s v="Referral"/>
    <x v="1"/>
    <n v="1"/>
    <n v="0"/>
    <n v="0"/>
    <n v="0"/>
    <n v="0"/>
    <n v="1"/>
    <n v="0"/>
    <m/>
    <n v="86.7"/>
  </r>
  <r>
    <x v="1066"/>
    <d v="2025-04-18T00:00:00"/>
    <x v="1"/>
    <s v="East"/>
    <s v="Mobile"/>
    <s v="Paid Search"/>
    <x v="2"/>
    <n v="1"/>
    <n v="0"/>
    <n v="0"/>
    <n v="0"/>
    <n v="0"/>
    <n v="0"/>
    <n v="0"/>
    <m/>
    <n v="48.2"/>
  </r>
  <r>
    <x v="1067"/>
    <d v="2025-02-24T00:00:00"/>
    <x v="1"/>
    <s v="West"/>
    <s v="Mobile"/>
    <s v="Referral"/>
    <x v="0"/>
    <n v="0"/>
    <n v="0"/>
    <n v="0"/>
    <n v="0"/>
    <n v="0"/>
    <n v="1"/>
    <n v="0"/>
    <m/>
    <n v="57.6"/>
  </r>
  <r>
    <x v="1068"/>
    <d v="2025-02-11T00:00:00"/>
    <x v="1"/>
    <s v="North"/>
    <s v="Mobile"/>
    <s v="Organic"/>
    <x v="1"/>
    <n v="1"/>
    <n v="1"/>
    <n v="1"/>
    <n v="0"/>
    <n v="0"/>
    <n v="0"/>
    <n v="0"/>
    <m/>
    <n v="75.7"/>
  </r>
  <r>
    <x v="1069"/>
    <d v="2025-03-11T00:00:00"/>
    <x v="1"/>
    <s v="West"/>
    <s v="Desktop"/>
    <s v="Paid Search"/>
    <x v="1"/>
    <n v="1"/>
    <n v="0"/>
    <n v="0"/>
    <n v="0"/>
    <n v="0"/>
    <n v="2"/>
    <n v="0"/>
    <m/>
    <n v="48.6"/>
  </r>
  <r>
    <x v="1070"/>
    <d v="2025-04-11T00:00:00"/>
    <x v="1"/>
    <s v="East"/>
    <s v="Tablet"/>
    <s v="Referral"/>
    <x v="1"/>
    <n v="1"/>
    <n v="1"/>
    <n v="1"/>
    <n v="0"/>
    <n v="0"/>
    <n v="0"/>
    <n v="0"/>
    <m/>
    <n v="72"/>
  </r>
  <r>
    <x v="1071"/>
    <d v="2025-03-11T00:00:00"/>
    <x v="1"/>
    <s v="North"/>
    <s v="Mobile"/>
    <s v="Organic"/>
    <x v="1"/>
    <n v="0"/>
    <n v="0"/>
    <n v="0"/>
    <n v="0"/>
    <n v="0"/>
    <n v="0"/>
    <n v="0"/>
    <m/>
    <n v="72.2"/>
  </r>
  <r>
    <x v="1072"/>
    <d v="2025-05-22T00:00:00"/>
    <x v="1"/>
    <s v="East"/>
    <s v="Mobile"/>
    <s v="Referral"/>
    <x v="1"/>
    <n v="1"/>
    <n v="0"/>
    <n v="0"/>
    <n v="0"/>
    <n v="0"/>
    <n v="1"/>
    <n v="0"/>
    <m/>
    <m/>
  </r>
  <r>
    <x v="1073"/>
    <d v="2025-02-22T00:00:00"/>
    <x v="1"/>
    <s v="South"/>
    <s v="Desktop"/>
    <s v="Organic"/>
    <x v="1"/>
    <n v="1"/>
    <n v="1"/>
    <n v="1"/>
    <n v="1"/>
    <n v="331.53"/>
    <n v="2"/>
    <n v="0"/>
    <n v="4"/>
    <n v="56.8"/>
  </r>
  <r>
    <x v="1074"/>
    <d v="2025-01-13T00:00:00"/>
    <x v="1"/>
    <s v="East"/>
    <s v="Mobile"/>
    <s v="Paid Search"/>
    <x v="0"/>
    <n v="1"/>
    <n v="0"/>
    <n v="0"/>
    <n v="0"/>
    <n v="0"/>
    <n v="0"/>
    <n v="0"/>
    <m/>
    <n v="62.5"/>
  </r>
  <r>
    <x v="1075"/>
    <d v="2025-05-19T00:00:00"/>
    <x v="1"/>
    <s v="South"/>
    <s v="Mobile"/>
    <s v="Organic"/>
    <x v="1"/>
    <n v="1"/>
    <n v="0"/>
    <n v="0"/>
    <n v="0"/>
    <n v="0"/>
    <n v="0"/>
    <n v="0"/>
    <m/>
    <n v="63.4"/>
  </r>
  <r>
    <x v="1076"/>
    <d v="2025-03-08T00:00:00"/>
    <x v="1"/>
    <s v="North"/>
    <s v="Tablet"/>
    <s v="Organic"/>
    <x v="0"/>
    <n v="1"/>
    <n v="1"/>
    <n v="1"/>
    <n v="1"/>
    <n v="774.78"/>
    <n v="0"/>
    <n v="0"/>
    <n v="3"/>
    <n v="46.8"/>
  </r>
  <r>
    <x v="1077"/>
    <d v="2025-04-20T00:00:00"/>
    <x v="1"/>
    <s v="South"/>
    <s v="Mobile"/>
    <s v="Organic"/>
    <x v="1"/>
    <n v="1"/>
    <n v="1"/>
    <n v="1"/>
    <n v="1"/>
    <n v="422.02"/>
    <n v="0"/>
    <n v="0"/>
    <n v="8"/>
    <n v="86.5"/>
  </r>
  <r>
    <x v="1078"/>
    <d v="2025-05-08T00:00:00"/>
    <x v="1"/>
    <s v="West"/>
    <s v="Mobile"/>
    <s v="Email"/>
    <x v="0"/>
    <n v="0"/>
    <n v="0"/>
    <n v="0"/>
    <n v="0"/>
    <n v="0"/>
    <n v="1"/>
    <n v="0"/>
    <m/>
    <n v="75.099999999999994"/>
  </r>
  <r>
    <x v="1079"/>
    <d v="2025-05-10T00:00:00"/>
    <x v="1"/>
    <s v="South"/>
    <s v="Mobile"/>
    <s v="Organic"/>
    <x v="0"/>
    <n v="1"/>
    <n v="0"/>
    <n v="0"/>
    <n v="0"/>
    <n v="0"/>
    <n v="0"/>
    <n v="0"/>
    <m/>
    <n v="64.5"/>
  </r>
  <r>
    <x v="1080"/>
    <d v="2025-03-28T00:00:00"/>
    <x v="1"/>
    <s v="East"/>
    <s v="Mobile"/>
    <s v="Organic"/>
    <x v="1"/>
    <n v="1"/>
    <n v="0"/>
    <n v="0"/>
    <n v="0"/>
    <n v="0"/>
    <n v="0"/>
    <n v="0"/>
    <m/>
    <n v="54.2"/>
  </r>
  <r>
    <x v="1081"/>
    <d v="2025-04-30T00:00:00"/>
    <x v="1"/>
    <s v="East"/>
    <s v="Mobile"/>
    <s v="Paid Search"/>
    <x v="2"/>
    <n v="1"/>
    <n v="1"/>
    <n v="1"/>
    <n v="0"/>
    <n v="0"/>
    <n v="0"/>
    <n v="0"/>
    <m/>
    <n v="84.1"/>
  </r>
  <r>
    <x v="1082"/>
    <d v="2025-02-08T00:00:00"/>
    <x v="1"/>
    <s v="North"/>
    <s v="Mobile"/>
    <s v="Organic"/>
    <x v="0"/>
    <n v="0"/>
    <n v="0"/>
    <n v="0"/>
    <n v="0"/>
    <n v="0"/>
    <n v="1"/>
    <n v="0"/>
    <m/>
    <n v="49.1"/>
  </r>
  <r>
    <x v="1083"/>
    <d v="2025-03-07T00:00:00"/>
    <x v="1"/>
    <s v="South"/>
    <s v="Mobile"/>
    <s v="Referral"/>
    <x v="2"/>
    <n v="0"/>
    <n v="0"/>
    <n v="0"/>
    <n v="0"/>
    <n v="0"/>
    <n v="0"/>
    <n v="0"/>
    <m/>
    <n v="92.7"/>
  </r>
  <r>
    <x v="1084"/>
    <d v="2025-05-21T00:00:00"/>
    <x v="1"/>
    <s v="South"/>
    <s v="Mobile"/>
    <s v="Social"/>
    <x v="0"/>
    <n v="1"/>
    <n v="1"/>
    <n v="1"/>
    <n v="0"/>
    <n v="0"/>
    <n v="1"/>
    <n v="0"/>
    <m/>
    <n v="58.7"/>
  </r>
  <r>
    <x v="1085"/>
    <d v="2025-04-12T00:00:00"/>
    <x v="1"/>
    <s v="South"/>
    <s v="Mobile"/>
    <s v="Social"/>
    <x v="1"/>
    <n v="1"/>
    <n v="1"/>
    <n v="1"/>
    <n v="0"/>
    <n v="0"/>
    <n v="0"/>
    <n v="0"/>
    <m/>
    <n v="59.3"/>
  </r>
  <r>
    <x v="1086"/>
    <d v="2025-02-02T00:00:00"/>
    <x v="1"/>
    <s v="South"/>
    <s v="Mobile"/>
    <s v="Paid Search"/>
    <x v="1"/>
    <n v="1"/>
    <n v="0"/>
    <n v="0"/>
    <n v="0"/>
    <n v="0"/>
    <n v="0"/>
    <n v="0"/>
    <m/>
    <n v="62"/>
  </r>
  <r>
    <x v="1087"/>
    <d v="2025-04-22T00:00:00"/>
    <x v="1"/>
    <s v="North"/>
    <s v="Tablet"/>
    <s v="Referral"/>
    <x v="1"/>
    <n v="1"/>
    <n v="1"/>
    <n v="1"/>
    <n v="0"/>
    <n v="0"/>
    <n v="1"/>
    <n v="0"/>
    <m/>
    <n v="60.3"/>
  </r>
  <r>
    <x v="1088"/>
    <d v="2025-02-08T00:00:00"/>
    <x v="1"/>
    <s v="North"/>
    <s v="Mobile"/>
    <s v="Social"/>
    <x v="0"/>
    <n v="1"/>
    <n v="0"/>
    <n v="0"/>
    <n v="0"/>
    <n v="0"/>
    <n v="0"/>
    <n v="0"/>
    <m/>
    <n v="70.5"/>
  </r>
  <r>
    <x v="1089"/>
    <d v="2025-01-24T00:00:00"/>
    <x v="1"/>
    <s v="South"/>
    <s v="Desktop"/>
    <s v="Email"/>
    <x v="1"/>
    <n v="1"/>
    <n v="0"/>
    <n v="0"/>
    <n v="0"/>
    <n v="0"/>
    <n v="0"/>
    <n v="0"/>
    <m/>
    <n v="36.799999999999997"/>
  </r>
  <r>
    <x v="1090"/>
    <d v="2025-05-12T00:00:00"/>
    <x v="1"/>
    <s v="South"/>
    <s v="Mobile"/>
    <s v="Paid Search"/>
    <x v="0"/>
    <n v="0"/>
    <n v="0"/>
    <n v="0"/>
    <n v="0"/>
    <n v="0"/>
    <n v="1"/>
    <n v="0"/>
    <m/>
    <n v="73.2"/>
  </r>
  <r>
    <x v="1091"/>
    <d v="2025-03-30T00:00:00"/>
    <x v="1"/>
    <s v="North"/>
    <s v="Mobile"/>
    <s v="Organic"/>
    <x v="0"/>
    <n v="0"/>
    <n v="0"/>
    <n v="0"/>
    <n v="0"/>
    <n v="0"/>
    <n v="0"/>
    <n v="0"/>
    <m/>
    <n v="70.099999999999994"/>
  </r>
  <r>
    <x v="1092"/>
    <d v="2025-01-02T00:00:00"/>
    <x v="1"/>
    <s v="South"/>
    <s v="Desktop"/>
    <s v="Paid Search"/>
    <x v="0"/>
    <n v="1"/>
    <n v="0"/>
    <n v="0"/>
    <n v="0"/>
    <n v="0"/>
    <n v="0"/>
    <n v="0"/>
    <m/>
    <n v="76.400000000000006"/>
  </r>
  <r>
    <x v="1093"/>
    <d v="2025-03-21T00:00:00"/>
    <x v="1"/>
    <s v="South"/>
    <s v="Tablet"/>
    <s v="Email"/>
    <x v="0"/>
    <n v="0"/>
    <n v="0"/>
    <n v="0"/>
    <n v="0"/>
    <n v="0"/>
    <n v="0"/>
    <n v="0"/>
    <m/>
    <n v="46.4"/>
  </r>
  <r>
    <x v="1094"/>
    <d v="2025-01-25T00:00:00"/>
    <x v="1"/>
    <s v="West"/>
    <s v="Mobile"/>
    <s v="Organic"/>
    <x v="1"/>
    <n v="1"/>
    <n v="1"/>
    <n v="1"/>
    <n v="0"/>
    <n v="0"/>
    <n v="1"/>
    <n v="0"/>
    <m/>
    <n v="81.3"/>
  </r>
  <r>
    <x v="1095"/>
    <d v="2025-01-12T00:00:00"/>
    <x v="1"/>
    <s v="South"/>
    <s v="Tablet"/>
    <s v="Social"/>
    <x v="1"/>
    <n v="1"/>
    <n v="1"/>
    <n v="1"/>
    <n v="0"/>
    <n v="0"/>
    <n v="0"/>
    <n v="0"/>
    <m/>
    <n v="55.3"/>
  </r>
  <r>
    <x v="1096"/>
    <d v="2025-03-18T00:00:00"/>
    <x v="1"/>
    <s v="East"/>
    <s v="Desktop"/>
    <s v="Referral"/>
    <x v="1"/>
    <n v="1"/>
    <n v="0"/>
    <n v="0"/>
    <n v="0"/>
    <n v="0"/>
    <n v="0"/>
    <n v="0"/>
    <m/>
    <n v="44.7"/>
  </r>
  <r>
    <x v="1097"/>
    <d v="2025-03-26T00:00:00"/>
    <x v="1"/>
    <s v="East"/>
    <s v="Mobile"/>
    <s v="Paid Search"/>
    <x v="0"/>
    <n v="1"/>
    <n v="0"/>
    <n v="0"/>
    <n v="0"/>
    <n v="0"/>
    <n v="0"/>
    <n v="0"/>
    <m/>
    <n v="67.2"/>
  </r>
  <r>
    <x v="1098"/>
    <d v="2025-04-19T00:00:00"/>
    <x v="1"/>
    <s v="North"/>
    <s v="Mobile"/>
    <s v="Paid Search"/>
    <x v="0"/>
    <n v="1"/>
    <n v="0"/>
    <n v="0"/>
    <n v="0"/>
    <n v="0"/>
    <n v="0"/>
    <n v="0"/>
    <m/>
    <m/>
  </r>
  <r>
    <x v="1099"/>
    <d v="2025-04-17T00:00:00"/>
    <x v="1"/>
    <s v="East"/>
    <s v="Mobile"/>
    <s v="Organic"/>
    <x v="2"/>
    <n v="1"/>
    <n v="1"/>
    <n v="1"/>
    <n v="0"/>
    <n v="0"/>
    <n v="1"/>
    <n v="0"/>
    <m/>
    <n v="70.8"/>
  </r>
  <r>
    <x v="1100"/>
    <d v="2025-05-26T00:00:00"/>
    <x v="1"/>
    <s v="South"/>
    <s v="Mobile"/>
    <s v="Paid Search"/>
    <x v="1"/>
    <n v="1"/>
    <n v="0"/>
    <n v="0"/>
    <n v="0"/>
    <n v="0"/>
    <n v="0"/>
    <n v="0"/>
    <m/>
    <n v="71.3"/>
  </r>
  <r>
    <x v="1101"/>
    <d v="2025-04-14T00:00:00"/>
    <x v="1"/>
    <s v="North"/>
    <s v="Mobile"/>
    <s v="Social"/>
    <x v="2"/>
    <n v="1"/>
    <n v="1"/>
    <n v="1"/>
    <n v="0"/>
    <n v="0"/>
    <n v="0"/>
    <n v="0"/>
    <m/>
    <n v="69.400000000000006"/>
  </r>
  <r>
    <x v="1102"/>
    <d v="2025-01-23T00:00:00"/>
    <x v="1"/>
    <s v="South"/>
    <s v="Mobile"/>
    <s v="Organic"/>
    <x v="0"/>
    <n v="1"/>
    <n v="1"/>
    <n v="0"/>
    <n v="0"/>
    <n v="0"/>
    <n v="0"/>
    <n v="0"/>
    <m/>
    <n v="58.9"/>
  </r>
  <r>
    <x v="1103"/>
    <d v="2025-01-06T00:00:00"/>
    <x v="1"/>
    <s v="East"/>
    <s v="Mobile"/>
    <s v="Referral"/>
    <x v="1"/>
    <n v="0"/>
    <n v="0"/>
    <n v="0"/>
    <n v="0"/>
    <n v="0"/>
    <n v="0"/>
    <n v="0"/>
    <m/>
    <n v="70.7"/>
  </r>
  <r>
    <x v="1104"/>
    <d v="2025-05-31T00:00:00"/>
    <x v="1"/>
    <s v="West"/>
    <s v="Mobile"/>
    <s v="Email"/>
    <x v="0"/>
    <n v="1"/>
    <n v="0"/>
    <n v="0"/>
    <n v="0"/>
    <n v="0"/>
    <n v="0"/>
    <n v="0"/>
    <m/>
    <n v="60.5"/>
  </r>
  <r>
    <x v="1105"/>
    <d v="2025-05-19T00:00:00"/>
    <x v="1"/>
    <s v="North"/>
    <s v="Mobile"/>
    <s v="Organic"/>
    <x v="0"/>
    <n v="1"/>
    <n v="1"/>
    <n v="1"/>
    <n v="0"/>
    <n v="0"/>
    <n v="0"/>
    <n v="0"/>
    <m/>
    <n v="77.3"/>
  </r>
  <r>
    <x v="1106"/>
    <d v="2025-02-25T00:00:00"/>
    <x v="1"/>
    <s v="North"/>
    <s v="Mobile"/>
    <s v="Organic"/>
    <x v="1"/>
    <n v="0"/>
    <n v="0"/>
    <n v="0"/>
    <n v="0"/>
    <n v="0"/>
    <n v="1"/>
    <n v="0"/>
    <m/>
    <n v="39.5"/>
  </r>
  <r>
    <x v="1107"/>
    <d v="2025-01-10T00:00:00"/>
    <x v="1"/>
    <s v="South"/>
    <s v="Tablet"/>
    <s v="Organic"/>
    <x v="0"/>
    <n v="1"/>
    <n v="0"/>
    <n v="0"/>
    <n v="0"/>
    <n v="0"/>
    <n v="0"/>
    <n v="0"/>
    <m/>
    <n v="68.099999999999994"/>
  </r>
  <r>
    <x v="1108"/>
    <d v="2025-05-13T00:00:00"/>
    <x v="1"/>
    <s v="North"/>
    <s v="Tablet"/>
    <s v="Paid Search"/>
    <x v="1"/>
    <n v="0"/>
    <n v="0"/>
    <n v="0"/>
    <n v="0"/>
    <n v="0"/>
    <n v="0"/>
    <n v="0"/>
    <m/>
    <n v="80.3"/>
  </r>
  <r>
    <x v="1109"/>
    <d v="2025-04-27T00:00:00"/>
    <x v="1"/>
    <s v="West"/>
    <s v="Desktop"/>
    <s v="Organic"/>
    <x v="2"/>
    <n v="1"/>
    <n v="0"/>
    <n v="0"/>
    <n v="0"/>
    <n v="0"/>
    <n v="0"/>
    <n v="0"/>
    <m/>
    <n v="77.7"/>
  </r>
  <r>
    <x v="1110"/>
    <d v="2025-04-03T00:00:00"/>
    <x v="1"/>
    <s v="South"/>
    <s v="Mobile"/>
    <s v="Organic"/>
    <x v="1"/>
    <n v="1"/>
    <n v="0"/>
    <n v="0"/>
    <n v="0"/>
    <n v="0"/>
    <n v="1"/>
    <n v="0"/>
    <m/>
    <n v="66.2"/>
  </r>
  <r>
    <x v="1111"/>
    <d v="2025-03-26T00:00:00"/>
    <x v="1"/>
    <s v="South"/>
    <s v="Mobile"/>
    <s v="Organic"/>
    <x v="1"/>
    <n v="1"/>
    <n v="1"/>
    <n v="1"/>
    <n v="0"/>
    <n v="0"/>
    <n v="1"/>
    <n v="0"/>
    <m/>
    <n v="43.9"/>
  </r>
  <r>
    <x v="1112"/>
    <d v="2025-01-31T00:00:00"/>
    <x v="1"/>
    <s v="South"/>
    <s v="Mobile"/>
    <s v="Organic"/>
    <x v="0"/>
    <n v="1"/>
    <n v="1"/>
    <n v="1"/>
    <n v="0"/>
    <n v="0"/>
    <n v="2"/>
    <n v="0"/>
    <m/>
    <n v="59.1"/>
  </r>
  <r>
    <x v="1113"/>
    <d v="2025-01-25T00:00:00"/>
    <x v="1"/>
    <s v="South"/>
    <s v="Mobile"/>
    <s v="Social"/>
    <x v="1"/>
    <n v="1"/>
    <n v="1"/>
    <n v="1"/>
    <n v="1"/>
    <n v="416.94"/>
    <n v="1"/>
    <n v="0"/>
    <n v="11"/>
    <n v="67"/>
  </r>
  <r>
    <x v="1114"/>
    <d v="2025-02-06T00:00:00"/>
    <x v="1"/>
    <s v="West"/>
    <s v="Mobile"/>
    <s v="Referral"/>
    <x v="0"/>
    <n v="1"/>
    <n v="0"/>
    <n v="0"/>
    <n v="0"/>
    <n v="0"/>
    <n v="0"/>
    <n v="0"/>
    <m/>
    <n v="47.9"/>
  </r>
  <r>
    <x v="1115"/>
    <d v="2025-03-10T00:00:00"/>
    <x v="1"/>
    <s v="East"/>
    <s v="Mobile"/>
    <s v="Paid Search"/>
    <x v="1"/>
    <n v="1"/>
    <n v="1"/>
    <n v="0"/>
    <n v="0"/>
    <n v="0"/>
    <n v="0"/>
    <n v="0"/>
    <m/>
    <n v="41.5"/>
  </r>
  <r>
    <x v="1116"/>
    <d v="2025-01-26T00:00:00"/>
    <x v="1"/>
    <s v="West"/>
    <s v="Mobile"/>
    <s v="Organic"/>
    <x v="0"/>
    <n v="1"/>
    <n v="1"/>
    <n v="1"/>
    <n v="0"/>
    <n v="0"/>
    <n v="3"/>
    <n v="0"/>
    <m/>
    <n v="30.6"/>
  </r>
  <r>
    <x v="1117"/>
    <d v="2025-01-01T00:00:00"/>
    <x v="1"/>
    <s v="East"/>
    <s v="Mobile"/>
    <s v="Paid Search"/>
    <x v="1"/>
    <n v="1"/>
    <n v="1"/>
    <n v="0"/>
    <n v="0"/>
    <n v="0"/>
    <n v="0"/>
    <n v="0"/>
    <m/>
    <n v="91.5"/>
  </r>
  <r>
    <x v="1118"/>
    <d v="2025-04-28T00:00:00"/>
    <x v="1"/>
    <s v="North"/>
    <s v="Desktop"/>
    <s v="Social"/>
    <x v="0"/>
    <n v="1"/>
    <n v="0"/>
    <n v="0"/>
    <n v="0"/>
    <n v="0"/>
    <n v="0"/>
    <n v="0"/>
    <m/>
    <n v="80.8"/>
  </r>
  <r>
    <x v="1119"/>
    <d v="2025-04-04T00:00:00"/>
    <x v="1"/>
    <s v="North"/>
    <s v="Mobile"/>
    <s v="Organic"/>
    <x v="2"/>
    <n v="1"/>
    <n v="0"/>
    <n v="0"/>
    <n v="0"/>
    <n v="0"/>
    <n v="0"/>
    <n v="0"/>
    <m/>
    <n v="68.099999999999994"/>
  </r>
  <r>
    <x v="1120"/>
    <d v="2025-03-02T00:00:00"/>
    <x v="1"/>
    <s v="East"/>
    <s v="Mobile"/>
    <s v="Paid Search"/>
    <x v="1"/>
    <n v="1"/>
    <n v="0"/>
    <n v="0"/>
    <n v="0"/>
    <n v="0"/>
    <n v="0"/>
    <n v="0"/>
    <m/>
    <n v="80.3"/>
  </r>
  <r>
    <x v="1121"/>
    <d v="2025-03-19T00:00:00"/>
    <x v="1"/>
    <s v="South"/>
    <s v="Tablet"/>
    <s v="Organic"/>
    <x v="0"/>
    <n v="1"/>
    <n v="0"/>
    <n v="0"/>
    <n v="0"/>
    <n v="0"/>
    <n v="0"/>
    <n v="0"/>
    <m/>
    <n v="44.4"/>
  </r>
  <r>
    <x v="1122"/>
    <d v="2025-01-20T00:00:00"/>
    <x v="1"/>
    <s v="South"/>
    <s v="Desktop"/>
    <s v="Organic"/>
    <x v="0"/>
    <n v="0"/>
    <n v="0"/>
    <n v="0"/>
    <n v="0"/>
    <n v="0"/>
    <n v="0"/>
    <n v="0"/>
    <m/>
    <n v="51.9"/>
  </r>
  <r>
    <x v="1123"/>
    <d v="2025-04-03T00:00:00"/>
    <x v="1"/>
    <s v="East"/>
    <s v="Mobile"/>
    <s v="Paid Search"/>
    <x v="1"/>
    <n v="1"/>
    <n v="1"/>
    <n v="0"/>
    <n v="0"/>
    <n v="0"/>
    <n v="0"/>
    <n v="0"/>
    <m/>
    <n v="49.8"/>
  </r>
  <r>
    <x v="1124"/>
    <d v="2025-01-11T00:00:00"/>
    <x v="1"/>
    <s v="East"/>
    <s v="Desktop"/>
    <s v="Social"/>
    <x v="1"/>
    <n v="1"/>
    <n v="1"/>
    <n v="1"/>
    <n v="0"/>
    <n v="0"/>
    <n v="3"/>
    <n v="0"/>
    <m/>
    <n v="62.1"/>
  </r>
  <r>
    <x v="1125"/>
    <d v="2025-02-02T00:00:00"/>
    <x v="1"/>
    <s v="West"/>
    <s v="Desktop"/>
    <s v="Social"/>
    <x v="0"/>
    <n v="1"/>
    <n v="0"/>
    <n v="0"/>
    <n v="0"/>
    <n v="0"/>
    <n v="0"/>
    <n v="0"/>
    <m/>
    <n v="91.3"/>
  </r>
  <r>
    <x v="1126"/>
    <d v="2025-04-01T00:00:00"/>
    <x v="1"/>
    <s v="South"/>
    <s v="Mobile"/>
    <s v="Organic"/>
    <x v="0"/>
    <n v="1"/>
    <n v="0"/>
    <n v="0"/>
    <n v="0"/>
    <n v="0"/>
    <n v="0"/>
    <n v="0"/>
    <m/>
    <n v="66.400000000000006"/>
  </r>
  <r>
    <x v="1127"/>
    <d v="2025-05-22T00:00:00"/>
    <x v="1"/>
    <s v="East"/>
    <s v="Mobile"/>
    <s v="Organic"/>
    <x v="0"/>
    <n v="1"/>
    <n v="0"/>
    <n v="0"/>
    <n v="0"/>
    <n v="0"/>
    <n v="0"/>
    <n v="0"/>
    <m/>
    <n v="41.5"/>
  </r>
  <r>
    <x v="1128"/>
    <d v="2025-02-20T00:00:00"/>
    <x v="1"/>
    <s v="West"/>
    <s v="Mobile"/>
    <s v="Organic"/>
    <x v="0"/>
    <n v="0"/>
    <n v="0"/>
    <n v="0"/>
    <n v="0"/>
    <n v="0"/>
    <n v="0"/>
    <n v="0"/>
    <m/>
    <n v="77.099999999999994"/>
  </r>
  <r>
    <x v="1129"/>
    <d v="2025-03-21T00:00:00"/>
    <x v="1"/>
    <s v="West"/>
    <s v="Mobile"/>
    <s v="Organic"/>
    <x v="1"/>
    <n v="1"/>
    <n v="0"/>
    <n v="0"/>
    <n v="0"/>
    <n v="0"/>
    <n v="0"/>
    <n v="0"/>
    <m/>
    <n v="63.2"/>
  </r>
  <r>
    <x v="1130"/>
    <d v="2025-05-01T00:00:00"/>
    <x v="1"/>
    <s v="West"/>
    <s v="Desktop"/>
    <s v="Referral"/>
    <x v="1"/>
    <n v="1"/>
    <n v="1"/>
    <n v="1"/>
    <n v="0"/>
    <n v="0"/>
    <n v="3"/>
    <n v="0"/>
    <m/>
    <n v="75.7"/>
  </r>
  <r>
    <x v="1131"/>
    <d v="2025-01-06T00:00:00"/>
    <x v="1"/>
    <s v="West"/>
    <s v="Mobile"/>
    <s v="Paid Search"/>
    <x v="0"/>
    <n v="0"/>
    <n v="0"/>
    <n v="0"/>
    <n v="0"/>
    <n v="0"/>
    <n v="0"/>
    <n v="0"/>
    <m/>
    <n v="62.9"/>
  </r>
  <r>
    <x v="1132"/>
    <d v="2025-04-12T00:00:00"/>
    <x v="1"/>
    <s v="North"/>
    <s v="Desktop"/>
    <s v="Paid Search"/>
    <x v="2"/>
    <n v="1"/>
    <n v="0"/>
    <n v="0"/>
    <n v="0"/>
    <n v="0"/>
    <n v="3"/>
    <n v="0"/>
    <m/>
    <n v="64.599999999999994"/>
  </r>
  <r>
    <x v="1133"/>
    <d v="2025-04-18T00:00:00"/>
    <x v="1"/>
    <s v="North"/>
    <s v="Mobile"/>
    <m/>
    <x v="0"/>
    <n v="1"/>
    <n v="0"/>
    <n v="0"/>
    <n v="0"/>
    <n v="0"/>
    <n v="0"/>
    <n v="0"/>
    <m/>
    <n v="76.599999999999994"/>
  </r>
  <r>
    <x v="1134"/>
    <d v="2025-03-24T00:00:00"/>
    <x v="1"/>
    <s v="East"/>
    <s v="Mobile"/>
    <s v="Social"/>
    <x v="0"/>
    <n v="1"/>
    <n v="0"/>
    <n v="0"/>
    <n v="0"/>
    <n v="0"/>
    <n v="0"/>
    <n v="0"/>
    <m/>
    <n v="74.8"/>
  </r>
  <r>
    <x v="1135"/>
    <d v="2025-03-18T00:00:00"/>
    <x v="1"/>
    <s v="East"/>
    <s v="Desktop"/>
    <s v="Email"/>
    <x v="2"/>
    <n v="1"/>
    <n v="0"/>
    <n v="0"/>
    <n v="0"/>
    <n v="0"/>
    <n v="2"/>
    <n v="0"/>
    <m/>
    <n v="38.1"/>
  </r>
  <r>
    <x v="1136"/>
    <d v="2025-04-30T00:00:00"/>
    <x v="1"/>
    <s v="South"/>
    <s v="Tablet"/>
    <s v="Paid Search"/>
    <x v="0"/>
    <n v="1"/>
    <n v="1"/>
    <n v="0"/>
    <n v="0"/>
    <n v="0"/>
    <n v="0"/>
    <n v="0"/>
    <m/>
    <n v="60.2"/>
  </r>
  <r>
    <x v="1137"/>
    <d v="2025-01-25T00:00:00"/>
    <x v="1"/>
    <s v="West"/>
    <s v="Mobile"/>
    <s v="Email"/>
    <x v="1"/>
    <n v="1"/>
    <n v="1"/>
    <n v="0"/>
    <n v="0"/>
    <n v="0"/>
    <n v="0"/>
    <n v="0"/>
    <m/>
    <n v="73.5"/>
  </r>
  <r>
    <x v="1138"/>
    <d v="2025-04-10T00:00:00"/>
    <x v="1"/>
    <s v="South"/>
    <s v="Mobile"/>
    <s v="Organic"/>
    <x v="1"/>
    <n v="1"/>
    <n v="0"/>
    <n v="0"/>
    <n v="0"/>
    <n v="0"/>
    <n v="0"/>
    <n v="0"/>
    <m/>
    <n v="70.900000000000006"/>
  </r>
  <r>
    <x v="1139"/>
    <d v="2025-01-10T00:00:00"/>
    <x v="1"/>
    <s v="West"/>
    <s v="Mobile"/>
    <s v="Social"/>
    <x v="1"/>
    <n v="1"/>
    <n v="0"/>
    <n v="0"/>
    <n v="0"/>
    <n v="0"/>
    <n v="0"/>
    <n v="0"/>
    <m/>
    <n v="63.7"/>
  </r>
  <r>
    <x v="1140"/>
    <d v="2025-02-11T00:00:00"/>
    <x v="1"/>
    <s v="South"/>
    <s v="Mobile"/>
    <s v="Paid Search"/>
    <x v="1"/>
    <n v="1"/>
    <n v="0"/>
    <n v="0"/>
    <n v="0"/>
    <n v="0"/>
    <n v="0"/>
    <n v="0"/>
    <m/>
    <n v="86.5"/>
  </r>
  <r>
    <x v="1141"/>
    <d v="2025-05-01T00:00:00"/>
    <x v="1"/>
    <s v="East"/>
    <s v="Mobile"/>
    <s v="Social"/>
    <x v="0"/>
    <n v="1"/>
    <n v="1"/>
    <n v="1"/>
    <n v="1"/>
    <n v="921.72"/>
    <n v="3"/>
    <n v="0"/>
    <n v="7"/>
    <n v="74.599999999999994"/>
  </r>
  <r>
    <x v="1142"/>
    <d v="2025-01-18T00:00:00"/>
    <x v="1"/>
    <s v="East"/>
    <s v="Mobile"/>
    <s v="Organic"/>
    <x v="1"/>
    <n v="1"/>
    <n v="0"/>
    <n v="0"/>
    <n v="0"/>
    <n v="0"/>
    <n v="0"/>
    <n v="0"/>
    <m/>
    <n v="46.6"/>
  </r>
  <r>
    <x v="1143"/>
    <d v="2025-01-02T00:00:00"/>
    <x v="1"/>
    <s v="North"/>
    <s v="Mobile"/>
    <s v="Paid Search"/>
    <x v="1"/>
    <n v="0"/>
    <n v="0"/>
    <n v="0"/>
    <n v="0"/>
    <n v="0"/>
    <n v="0"/>
    <n v="0"/>
    <m/>
    <n v="61.2"/>
  </r>
  <r>
    <x v="1144"/>
    <d v="2025-05-11T00:00:00"/>
    <x v="1"/>
    <s v="West"/>
    <s v="Mobile"/>
    <s v="Organic"/>
    <x v="1"/>
    <n v="1"/>
    <n v="1"/>
    <n v="1"/>
    <n v="1"/>
    <n v="290.39"/>
    <n v="0"/>
    <n v="0"/>
    <n v="4"/>
    <n v="54.4"/>
  </r>
  <r>
    <x v="1145"/>
    <d v="2025-03-22T00:00:00"/>
    <x v="1"/>
    <s v="North"/>
    <s v="Mobile"/>
    <s v="Referral"/>
    <x v="1"/>
    <n v="1"/>
    <n v="1"/>
    <n v="1"/>
    <n v="0"/>
    <n v="0"/>
    <n v="0"/>
    <n v="0"/>
    <m/>
    <n v="72"/>
  </r>
  <r>
    <x v="1146"/>
    <d v="2025-05-02T00:00:00"/>
    <x v="1"/>
    <s v="South"/>
    <s v="Mobile"/>
    <s v="Social"/>
    <x v="2"/>
    <n v="1"/>
    <n v="1"/>
    <n v="1"/>
    <n v="1"/>
    <n v="1858.85"/>
    <n v="0"/>
    <n v="0"/>
    <n v="8"/>
    <n v="88.6"/>
  </r>
  <r>
    <x v="1147"/>
    <d v="2025-05-26T00:00:00"/>
    <x v="1"/>
    <s v="East"/>
    <s v="Desktop"/>
    <m/>
    <x v="0"/>
    <n v="1"/>
    <n v="0"/>
    <n v="0"/>
    <n v="0"/>
    <n v="0"/>
    <n v="0"/>
    <n v="0"/>
    <m/>
    <n v="77.599999999999994"/>
  </r>
  <r>
    <x v="1148"/>
    <d v="2025-03-13T00:00:00"/>
    <x v="1"/>
    <s v="South"/>
    <s v="Mobile"/>
    <s v="Organic"/>
    <x v="0"/>
    <n v="1"/>
    <n v="0"/>
    <n v="0"/>
    <n v="0"/>
    <n v="0"/>
    <n v="1"/>
    <n v="0"/>
    <m/>
    <n v="44.3"/>
  </r>
  <r>
    <x v="1149"/>
    <d v="2025-05-17T00:00:00"/>
    <x v="1"/>
    <s v="South"/>
    <s v="Desktop"/>
    <s v="Paid Search"/>
    <x v="1"/>
    <n v="1"/>
    <n v="1"/>
    <n v="0"/>
    <n v="0"/>
    <n v="0"/>
    <n v="0"/>
    <n v="0"/>
    <m/>
    <n v="49"/>
  </r>
  <r>
    <x v="1150"/>
    <d v="2025-03-13T00:00:00"/>
    <x v="1"/>
    <s v="North"/>
    <s v="Desktop"/>
    <s v="Referral"/>
    <x v="2"/>
    <n v="1"/>
    <n v="0"/>
    <n v="0"/>
    <n v="0"/>
    <n v="0"/>
    <n v="0"/>
    <n v="0"/>
    <m/>
    <n v="53.9"/>
  </r>
  <r>
    <x v="1151"/>
    <d v="2025-02-11T00:00:00"/>
    <x v="1"/>
    <s v="East"/>
    <s v="Desktop"/>
    <s v="Organic"/>
    <x v="0"/>
    <n v="1"/>
    <n v="0"/>
    <n v="0"/>
    <n v="0"/>
    <n v="0"/>
    <n v="1"/>
    <n v="0"/>
    <m/>
    <n v="69"/>
  </r>
  <r>
    <x v="1152"/>
    <d v="2025-03-01T00:00:00"/>
    <x v="1"/>
    <s v="West"/>
    <s v="Mobile"/>
    <s v="Social"/>
    <x v="1"/>
    <n v="0"/>
    <n v="0"/>
    <n v="0"/>
    <n v="0"/>
    <n v="0"/>
    <n v="0"/>
    <n v="0"/>
    <m/>
    <n v="37.4"/>
  </r>
  <r>
    <x v="1153"/>
    <d v="2025-04-15T00:00:00"/>
    <x v="1"/>
    <s v="West"/>
    <s v="Mobile"/>
    <s v="Organic"/>
    <x v="0"/>
    <n v="0"/>
    <n v="0"/>
    <n v="0"/>
    <n v="0"/>
    <n v="0"/>
    <n v="0"/>
    <n v="0"/>
    <m/>
    <n v="59"/>
  </r>
  <r>
    <x v="1154"/>
    <d v="2025-02-02T00:00:00"/>
    <x v="1"/>
    <s v="East"/>
    <s v="Mobile"/>
    <s v="Organic"/>
    <x v="2"/>
    <n v="1"/>
    <n v="0"/>
    <n v="0"/>
    <n v="0"/>
    <n v="0"/>
    <n v="0"/>
    <n v="0"/>
    <m/>
    <n v="60.8"/>
  </r>
  <r>
    <x v="1155"/>
    <d v="2025-05-19T00:00:00"/>
    <x v="1"/>
    <s v="South"/>
    <s v="Mobile"/>
    <s v="Email"/>
    <x v="1"/>
    <n v="1"/>
    <n v="0"/>
    <n v="0"/>
    <n v="0"/>
    <n v="0"/>
    <n v="0"/>
    <n v="0"/>
    <m/>
    <n v="57.5"/>
  </r>
  <r>
    <x v="1156"/>
    <d v="2025-01-05T00:00:00"/>
    <x v="1"/>
    <s v="West"/>
    <s v="Mobile"/>
    <s v="Referral"/>
    <x v="1"/>
    <n v="0"/>
    <n v="0"/>
    <n v="0"/>
    <n v="0"/>
    <n v="0"/>
    <n v="0"/>
    <n v="0"/>
    <m/>
    <n v="84.2"/>
  </r>
  <r>
    <x v="1157"/>
    <d v="2025-03-08T00:00:00"/>
    <x v="1"/>
    <s v="South"/>
    <s v="Mobile"/>
    <s v="Paid Search"/>
    <x v="1"/>
    <n v="1"/>
    <n v="1"/>
    <n v="0"/>
    <n v="0"/>
    <n v="0"/>
    <n v="0"/>
    <n v="0"/>
    <m/>
    <n v="27.4"/>
  </r>
  <r>
    <x v="1158"/>
    <d v="2025-03-12T00:00:00"/>
    <x v="1"/>
    <s v="West"/>
    <s v="Mobile"/>
    <s v="Email"/>
    <x v="0"/>
    <n v="1"/>
    <n v="0"/>
    <n v="0"/>
    <n v="0"/>
    <n v="0"/>
    <n v="1"/>
    <n v="0"/>
    <m/>
    <n v="67.599999999999994"/>
  </r>
  <r>
    <x v="1159"/>
    <d v="2025-01-24T00:00:00"/>
    <x v="1"/>
    <s v="West"/>
    <s v="Mobile"/>
    <s v="Organic"/>
    <x v="1"/>
    <n v="0"/>
    <n v="0"/>
    <n v="0"/>
    <n v="0"/>
    <n v="0"/>
    <n v="0"/>
    <n v="0"/>
    <m/>
    <n v="68.400000000000006"/>
  </r>
  <r>
    <x v="1160"/>
    <d v="2025-05-22T00:00:00"/>
    <x v="1"/>
    <s v="South"/>
    <s v="Mobile"/>
    <s v="Paid Search"/>
    <x v="0"/>
    <n v="1"/>
    <n v="1"/>
    <n v="1"/>
    <n v="0"/>
    <n v="0"/>
    <n v="0"/>
    <n v="0"/>
    <m/>
    <n v="66.5"/>
  </r>
  <r>
    <x v="1161"/>
    <d v="2025-03-27T00:00:00"/>
    <x v="1"/>
    <s v="South"/>
    <s v="Mobile"/>
    <s v="Paid Search"/>
    <x v="1"/>
    <n v="1"/>
    <n v="0"/>
    <n v="0"/>
    <n v="0"/>
    <n v="0"/>
    <n v="0"/>
    <n v="0"/>
    <m/>
    <n v="38.200000000000003"/>
  </r>
  <r>
    <x v="1162"/>
    <d v="2025-01-02T00:00:00"/>
    <x v="1"/>
    <s v="West"/>
    <s v="Mobile"/>
    <s v="Social"/>
    <x v="1"/>
    <n v="0"/>
    <n v="0"/>
    <n v="0"/>
    <n v="0"/>
    <n v="0"/>
    <n v="1"/>
    <n v="0"/>
    <m/>
    <n v="66.7"/>
  </r>
  <r>
    <x v="1163"/>
    <d v="2025-02-24T00:00:00"/>
    <x v="1"/>
    <s v="North"/>
    <s v="Mobile"/>
    <s v="Paid Search"/>
    <x v="1"/>
    <n v="0"/>
    <n v="0"/>
    <n v="0"/>
    <n v="0"/>
    <n v="0"/>
    <n v="1"/>
    <n v="0"/>
    <m/>
    <n v="73.7"/>
  </r>
  <r>
    <x v="1164"/>
    <d v="2025-03-01T00:00:00"/>
    <x v="1"/>
    <s v="West"/>
    <s v="Desktop"/>
    <s v="Organic"/>
    <x v="0"/>
    <n v="1"/>
    <n v="1"/>
    <n v="1"/>
    <n v="0"/>
    <n v="0"/>
    <n v="0"/>
    <n v="0"/>
    <m/>
    <n v="63.9"/>
  </r>
  <r>
    <x v="1165"/>
    <d v="2025-03-26T00:00:00"/>
    <x v="1"/>
    <s v="South"/>
    <s v="Tablet"/>
    <s v="Organic"/>
    <x v="0"/>
    <n v="1"/>
    <n v="0"/>
    <n v="0"/>
    <n v="0"/>
    <n v="0"/>
    <n v="1"/>
    <n v="0"/>
    <m/>
    <n v="82.6"/>
  </r>
  <r>
    <x v="1166"/>
    <d v="2025-05-25T00:00:00"/>
    <x v="1"/>
    <s v="East"/>
    <s v="Mobile"/>
    <s v="Paid Search"/>
    <x v="1"/>
    <n v="0"/>
    <n v="0"/>
    <n v="0"/>
    <n v="0"/>
    <n v="0"/>
    <n v="1"/>
    <n v="0"/>
    <m/>
    <n v="58.3"/>
  </r>
  <r>
    <x v="1167"/>
    <d v="2025-02-25T00:00:00"/>
    <x v="1"/>
    <s v="West"/>
    <s v="Mobile"/>
    <s v="Referral"/>
    <x v="2"/>
    <n v="1"/>
    <n v="1"/>
    <n v="1"/>
    <n v="1"/>
    <n v="1547.06"/>
    <n v="0"/>
    <n v="1"/>
    <n v="2"/>
    <n v="72.900000000000006"/>
  </r>
  <r>
    <x v="1168"/>
    <d v="2025-03-23T00:00:00"/>
    <x v="1"/>
    <s v="South"/>
    <s v="Mobile"/>
    <s v="Social"/>
    <x v="1"/>
    <n v="1"/>
    <n v="1"/>
    <n v="1"/>
    <n v="0"/>
    <n v="0"/>
    <n v="2"/>
    <n v="0"/>
    <m/>
    <n v="53.5"/>
  </r>
  <r>
    <x v="1169"/>
    <d v="2025-04-21T00:00:00"/>
    <x v="1"/>
    <s v="West"/>
    <s v="Mobile"/>
    <s v="Referral"/>
    <x v="1"/>
    <n v="1"/>
    <n v="0"/>
    <n v="0"/>
    <n v="0"/>
    <n v="0"/>
    <n v="0"/>
    <n v="0"/>
    <m/>
    <n v="54.8"/>
  </r>
  <r>
    <x v="1170"/>
    <d v="2025-05-21T00:00:00"/>
    <x v="1"/>
    <s v="North"/>
    <s v="Mobile"/>
    <s v="Organic"/>
    <x v="2"/>
    <n v="1"/>
    <n v="0"/>
    <n v="0"/>
    <n v="0"/>
    <n v="0"/>
    <n v="0"/>
    <n v="0"/>
    <m/>
    <n v="69.5"/>
  </r>
  <r>
    <x v="1171"/>
    <d v="2025-04-25T00:00:00"/>
    <x v="1"/>
    <s v="North"/>
    <s v="Desktop"/>
    <s v="Social"/>
    <x v="1"/>
    <n v="1"/>
    <n v="0"/>
    <n v="0"/>
    <n v="0"/>
    <n v="0"/>
    <n v="1"/>
    <n v="0"/>
    <m/>
    <n v="71.3"/>
  </r>
  <r>
    <x v="1172"/>
    <d v="2025-05-23T00:00:00"/>
    <x v="1"/>
    <s v="West"/>
    <s v="Mobile"/>
    <s v="Referral"/>
    <x v="0"/>
    <n v="1"/>
    <n v="0"/>
    <n v="0"/>
    <n v="0"/>
    <n v="0"/>
    <n v="1"/>
    <n v="0"/>
    <m/>
    <n v="57.5"/>
  </r>
  <r>
    <x v="1173"/>
    <d v="2025-03-18T00:00:00"/>
    <x v="1"/>
    <s v="South"/>
    <s v="Mobile"/>
    <s v="Email"/>
    <x v="1"/>
    <n v="1"/>
    <n v="0"/>
    <n v="0"/>
    <n v="0"/>
    <n v="0"/>
    <n v="4"/>
    <n v="0"/>
    <m/>
    <n v="50.9"/>
  </r>
  <r>
    <x v="1174"/>
    <d v="2025-01-03T00:00:00"/>
    <x v="1"/>
    <s v="South"/>
    <s v="Tablet"/>
    <s v="Organic"/>
    <x v="1"/>
    <n v="1"/>
    <n v="1"/>
    <n v="1"/>
    <n v="0"/>
    <n v="0"/>
    <n v="0"/>
    <n v="0"/>
    <m/>
    <n v="69.3"/>
  </r>
  <r>
    <x v="1175"/>
    <d v="2025-02-08T00:00:00"/>
    <x v="1"/>
    <s v="West"/>
    <s v="Desktop"/>
    <s v="Organic"/>
    <x v="1"/>
    <n v="1"/>
    <n v="0"/>
    <n v="0"/>
    <n v="0"/>
    <n v="0"/>
    <n v="0"/>
    <n v="0"/>
    <m/>
    <n v="50.1"/>
  </r>
  <r>
    <x v="1176"/>
    <d v="2025-02-04T00:00:00"/>
    <x v="1"/>
    <s v="East"/>
    <m/>
    <s v="Paid Search"/>
    <x v="0"/>
    <n v="0"/>
    <n v="0"/>
    <n v="0"/>
    <n v="0"/>
    <n v="0"/>
    <n v="0"/>
    <n v="0"/>
    <m/>
    <n v="69.7"/>
  </r>
  <r>
    <x v="1177"/>
    <d v="2025-01-16T00:00:00"/>
    <x v="1"/>
    <s v="North"/>
    <s v="Mobile"/>
    <s v="Paid Search"/>
    <x v="1"/>
    <n v="0"/>
    <n v="0"/>
    <n v="0"/>
    <n v="0"/>
    <n v="0"/>
    <n v="0"/>
    <n v="0"/>
    <m/>
    <n v="63.5"/>
  </r>
  <r>
    <x v="1178"/>
    <d v="2025-04-04T00:00:00"/>
    <x v="1"/>
    <s v="West"/>
    <s v="Desktop"/>
    <s v="Paid Search"/>
    <x v="1"/>
    <n v="1"/>
    <n v="1"/>
    <n v="1"/>
    <n v="1"/>
    <n v="265.58999999999997"/>
    <n v="1"/>
    <n v="0"/>
    <n v="8"/>
    <n v="80.400000000000006"/>
  </r>
  <r>
    <x v="1179"/>
    <d v="2025-01-23T00:00:00"/>
    <x v="1"/>
    <s v="North"/>
    <s v="Desktop"/>
    <s v="Paid Search"/>
    <x v="1"/>
    <n v="0"/>
    <n v="0"/>
    <n v="0"/>
    <n v="0"/>
    <n v="0"/>
    <n v="0"/>
    <n v="0"/>
    <m/>
    <n v="58.9"/>
  </r>
  <r>
    <x v="1180"/>
    <d v="2025-03-22T00:00:00"/>
    <x v="1"/>
    <s v="South"/>
    <s v="Desktop"/>
    <s v="Paid Search"/>
    <x v="1"/>
    <n v="1"/>
    <n v="0"/>
    <n v="0"/>
    <n v="0"/>
    <n v="0"/>
    <n v="0"/>
    <n v="0"/>
    <m/>
    <n v="56.8"/>
  </r>
  <r>
    <x v="1181"/>
    <d v="2025-02-02T00:00:00"/>
    <x v="1"/>
    <s v="East"/>
    <s v="Tablet"/>
    <s v="Social"/>
    <x v="2"/>
    <n v="0"/>
    <n v="0"/>
    <n v="0"/>
    <n v="0"/>
    <n v="0"/>
    <n v="0"/>
    <n v="0"/>
    <m/>
    <n v="73.900000000000006"/>
  </r>
  <r>
    <x v="1182"/>
    <d v="2025-01-31T00:00:00"/>
    <x v="1"/>
    <s v="North"/>
    <s v="Desktop"/>
    <s v="Paid Search"/>
    <x v="1"/>
    <n v="0"/>
    <n v="0"/>
    <n v="0"/>
    <n v="0"/>
    <n v="0"/>
    <n v="0"/>
    <n v="0"/>
    <m/>
    <n v="76.3"/>
  </r>
  <r>
    <x v="1183"/>
    <d v="2025-05-27T00:00:00"/>
    <x v="1"/>
    <s v="West"/>
    <s v="Mobile"/>
    <s v="Organic"/>
    <x v="0"/>
    <n v="1"/>
    <n v="0"/>
    <n v="0"/>
    <n v="0"/>
    <n v="0"/>
    <n v="0"/>
    <n v="0"/>
    <m/>
    <n v="56.9"/>
  </r>
  <r>
    <x v="1184"/>
    <d v="2025-05-07T00:00:00"/>
    <x v="1"/>
    <s v="North"/>
    <s v="Mobile"/>
    <s v="Organic"/>
    <x v="2"/>
    <n v="1"/>
    <n v="0"/>
    <n v="0"/>
    <n v="0"/>
    <n v="0"/>
    <n v="2"/>
    <n v="0"/>
    <m/>
    <n v="49.4"/>
  </r>
  <r>
    <x v="1185"/>
    <d v="2025-05-08T00:00:00"/>
    <x v="1"/>
    <s v="North"/>
    <s v="Desktop"/>
    <s v="Paid Search"/>
    <x v="0"/>
    <n v="1"/>
    <n v="0"/>
    <n v="0"/>
    <n v="0"/>
    <n v="0"/>
    <n v="0"/>
    <n v="0"/>
    <m/>
    <n v="86.7"/>
  </r>
  <r>
    <x v="1186"/>
    <d v="2025-01-15T00:00:00"/>
    <x v="1"/>
    <s v="West"/>
    <s v="Desktop"/>
    <s v="Email"/>
    <x v="1"/>
    <n v="1"/>
    <n v="0"/>
    <n v="0"/>
    <n v="0"/>
    <n v="0"/>
    <n v="3"/>
    <n v="0"/>
    <m/>
    <n v="69"/>
  </r>
  <r>
    <x v="1187"/>
    <d v="2025-01-18T00:00:00"/>
    <x v="1"/>
    <s v="North"/>
    <s v="Mobile"/>
    <s v="Paid Search"/>
    <x v="1"/>
    <n v="0"/>
    <n v="0"/>
    <n v="0"/>
    <n v="0"/>
    <n v="0"/>
    <n v="0"/>
    <n v="0"/>
    <m/>
    <n v="84.5"/>
  </r>
  <r>
    <x v="1188"/>
    <d v="2025-04-16T00:00:00"/>
    <x v="1"/>
    <s v="East"/>
    <m/>
    <s v="Referral"/>
    <x v="1"/>
    <n v="1"/>
    <n v="0"/>
    <n v="0"/>
    <n v="0"/>
    <n v="0"/>
    <n v="0"/>
    <n v="0"/>
    <m/>
    <n v="66.3"/>
  </r>
  <r>
    <x v="1189"/>
    <d v="2025-02-16T00:00:00"/>
    <x v="1"/>
    <s v="East"/>
    <s v="Desktop"/>
    <s v="Paid Search"/>
    <x v="1"/>
    <n v="0"/>
    <n v="0"/>
    <n v="0"/>
    <n v="0"/>
    <n v="0"/>
    <n v="0"/>
    <n v="0"/>
    <m/>
    <n v="52.2"/>
  </r>
  <r>
    <x v="1190"/>
    <d v="2025-04-17T00:00:00"/>
    <x v="1"/>
    <s v="South"/>
    <s v="Desktop"/>
    <s v="Referral"/>
    <x v="2"/>
    <n v="1"/>
    <n v="1"/>
    <n v="1"/>
    <n v="0"/>
    <n v="0"/>
    <n v="0"/>
    <n v="0"/>
    <m/>
    <n v="81.2"/>
  </r>
  <r>
    <x v="1191"/>
    <d v="2025-04-30T00:00:00"/>
    <x v="1"/>
    <s v="South"/>
    <s v="Mobile"/>
    <s v="Organic"/>
    <x v="0"/>
    <n v="0"/>
    <n v="0"/>
    <n v="0"/>
    <n v="0"/>
    <n v="0"/>
    <n v="0"/>
    <n v="0"/>
    <m/>
    <n v="53.9"/>
  </r>
  <r>
    <x v="1192"/>
    <d v="2025-01-29T00:00:00"/>
    <x v="1"/>
    <s v="West"/>
    <s v="Mobile"/>
    <s v="Social"/>
    <x v="2"/>
    <n v="0"/>
    <n v="0"/>
    <n v="0"/>
    <n v="0"/>
    <n v="0"/>
    <n v="0"/>
    <n v="0"/>
    <m/>
    <n v="39.1"/>
  </r>
  <r>
    <x v="1193"/>
    <d v="2025-01-11T00:00:00"/>
    <x v="1"/>
    <s v="North"/>
    <s v="Mobile"/>
    <s v="Social"/>
    <x v="0"/>
    <n v="0"/>
    <n v="0"/>
    <n v="0"/>
    <n v="0"/>
    <n v="0"/>
    <n v="0"/>
    <n v="0"/>
    <m/>
    <n v="57.3"/>
  </r>
  <r>
    <x v="1194"/>
    <d v="2025-04-08T00:00:00"/>
    <x v="1"/>
    <s v="East"/>
    <s v="Desktop"/>
    <s v="Paid Search"/>
    <x v="2"/>
    <n v="1"/>
    <n v="0"/>
    <n v="0"/>
    <n v="0"/>
    <n v="0"/>
    <n v="1"/>
    <n v="0"/>
    <m/>
    <n v="65.900000000000006"/>
  </r>
  <r>
    <x v="1195"/>
    <d v="2025-02-22T00:00:00"/>
    <x v="1"/>
    <s v="North"/>
    <m/>
    <s v="Social"/>
    <x v="1"/>
    <n v="1"/>
    <n v="0"/>
    <n v="0"/>
    <n v="0"/>
    <n v="0"/>
    <n v="1"/>
    <n v="0"/>
    <m/>
    <n v="34.200000000000003"/>
  </r>
  <r>
    <x v="1196"/>
    <d v="2025-03-23T00:00:00"/>
    <x v="1"/>
    <s v="South"/>
    <s v="Mobile"/>
    <s v="Organic"/>
    <x v="1"/>
    <n v="0"/>
    <n v="0"/>
    <n v="0"/>
    <n v="0"/>
    <n v="0"/>
    <n v="0"/>
    <n v="0"/>
    <m/>
    <n v="47.2"/>
  </r>
  <r>
    <x v="1197"/>
    <d v="2025-05-23T00:00:00"/>
    <x v="1"/>
    <s v="South"/>
    <s v="Tablet"/>
    <s v="Paid Search"/>
    <x v="1"/>
    <n v="1"/>
    <n v="0"/>
    <n v="0"/>
    <n v="0"/>
    <n v="0"/>
    <n v="1"/>
    <n v="0"/>
    <m/>
    <n v="55"/>
  </r>
  <r>
    <x v="1198"/>
    <d v="2025-04-27T00:00:00"/>
    <x v="1"/>
    <s v="West"/>
    <s v="Mobile"/>
    <s v="Referral"/>
    <x v="0"/>
    <n v="1"/>
    <n v="1"/>
    <n v="1"/>
    <n v="0"/>
    <n v="0"/>
    <n v="0"/>
    <n v="0"/>
    <m/>
    <n v="76.400000000000006"/>
  </r>
  <r>
    <x v="1199"/>
    <d v="2025-05-26T00:00:00"/>
    <x v="1"/>
    <s v="North"/>
    <s v="Mobile"/>
    <s v="Referral"/>
    <x v="1"/>
    <n v="1"/>
    <n v="0"/>
    <n v="0"/>
    <n v="0"/>
    <n v="0"/>
    <n v="0"/>
    <n v="0"/>
    <m/>
    <n v="70.8"/>
  </r>
  <r>
    <x v="1200"/>
    <d v="2025-03-06T00:00:00"/>
    <x v="1"/>
    <s v="East"/>
    <s v="Mobile"/>
    <s v="Paid Search"/>
    <x v="0"/>
    <n v="1"/>
    <n v="1"/>
    <n v="0"/>
    <n v="0"/>
    <n v="0"/>
    <n v="1"/>
    <n v="0"/>
    <m/>
    <n v="58"/>
  </r>
  <r>
    <x v="1201"/>
    <d v="2025-04-03T00:00:00"/>
    <x v="1"/>
    <s v="West"/>
    <s v="Mobile"/>
    <s v="Organic"/>
    <x v="0"/>
    <n v="1"/>
    <n v="1"/>
    <n v="1"/>
    <n v="0"/>
    <n v="0"/>
    <n v="1"/>
    <n v="0"/>
    <m/>
    <n v="70.8"/>
  </r>
  <r>
    <x v="1202"/>
    <d v="2025-02-01T00:00:00"/>
    <x v="1"/>
    <s v="East"/>
    <s v="Desktop"/>
    <s v="Paid Search"/>
    <x v="1"/>
    <n v="1"/>
    <n v="0"/>
    <n v="0"/>
    <n v="0"/>
    <n v="0"/>
    <n v="3"/>
    <n v="0"/>
    <m/>
    <n v="60"/>
  </r>
  <r>
    <x v="1203"/>
    <d v="2025-05-01T00:00:00"/>
    <x v="1"/>
    <s v="West"/>
    <s v="Mobile"/>
    <s v="Referral"/>
    <x v="2"/>
    <n v="1"/>
    <n v="1"/>
    <n v="1"/>
    <n v="0"/>
    <n v="0"/>
    <n v="3"/>
    <n v="0"/>
    <m/>
    <n v="58.1"/>
  </r>
  <r>
    <x v="1204"/>
    <d v="2025-04-13T00:00:00"/>
    <x v="1"/>
    <s v="North"/>
    <s v="Mobile"/>
    <s v="Social"/>
    <x v="2"/>
    <n v="0"/>
    <n v="0"/>
    <n v="0"/>
    <n v="0"/>
    <n v="0"/>
    <n v="0"/>
    <n v="0"/>
    <m/>
    <n v="59.7"/>
  </r>
  <r>
    <x v="1205"/>
    <d v="2025-01-25T00:00:00"/>
    <x v="1"/>
    <s v="East"/>
    <s v="Mobile"/>
    <s v="Social"/>
    <x v="1"/>
    <n v="0"/>
    <n v="0"/>
    <n v="0"/>
    <n v="0"/>
    <n v="0"/>
    <n v="0"/>
    <n v="0"/>
    <m/>
    <n v="47.7"/>
  </r>
  <r>
    <x v="1206"/>
    <d v="2025-03-17T00:00:00"/>
    <x v="1"/>
    <s v="North"/>
    <s v="Mobile"/>
    <s v="Organic"/>
    <x v="1"/>
    <n v="0"/>
    <n v="0"/>
    <n v="0"/>
    <n v="0"/>
    <n v="0"/>
    <n v="0"/>
    <n v="0"/>
    <m/>
    <n v="59.1"/>
  </r>
  <r>
    <x v="1207"/>
    <d v="2025-02-21T00:00:00"/>
    <x v="1"/>
    <s v="West"/>
    <s v="Desktop"/>
    <s v="Social"/>
    <x v="0"/>
    <n v="1"/>
    <n v="0"/>
    <n v="0"/>
    <n v="0"/>
    <n v="0"/>
    <n v="1"/>
    <n v="0"/>
    <m/>
    <n v="68.7"/>
  </r>
  <r>
    <x v="1208"/>
    <d v="2025-04-08T00:00:00"/>
    <x v="1"/>
    <s v="East"/>
    <s v="Tablet"/>
    <s v="Organic"/>
    <x v="0"/>
    <n v="0"/>
    <n v="0"/>
    <n v="0"/>
    <n v="0"/>
    <n v="0"/>
    <n v="0"/>
    <n v="0"/>
    <m/>
    <n v="34.700000000000003"/>
  </r>
  <r>
    <x v="1209"/>
    <d v="2025-02-24T00:00:00"/>
    <x v="1"/>
    <s v="West"/>
    <s v="Mobile"/>
    <s v="Organic"/>
    <x v="0"/>
    <n v="1"/>
    <n v="0"/>
    <n v="0"/>
    <n v="0"/>
    <n v="0"/>
    <n v="0"/>
    <n v="0"/>
    <m/>
    <n v="62"/>
  </r>
  <r>
    <x v="1210"/>
    <d v="2025-05-29T00:00:00"/>
    <x v="1"/>
    <s v="South"/>
    <s v="Mobile"/>
    <s v="Organic"/>
    <x v="1"/>
    <n v="1"/>
    <n v="1"/>
    <n v="0"/>
    <n v="0"/>
    <n v="0"/>
    <n v="0"/>
    <n v="0"/>
    <m/>
    <n v="56"/>
  </r>
  <r>
    <x v="1211"/>
    <d v="2025-05-30T00:00:00"/>
    <x v="1"/>
    <s v="North"/>
    <s v="Mobile"/>
    <s v="Email"/>
    <x v="0"/>
    <n v="1"/>
    <n v="0"/>
    <n v="0"/>
    <n v="0"/>
    <n v="0"/>
    <n v="1"/>
    <n v="0"/>
    <m/>
    <n v="65.8"/>
  </r>
  <r>
    <x v="1212"/>
    <d v="2025-01-24T00:00:00"/>
    <x v="1"/>
    <s v="North"/>
    <s v="Desktop"/>
    <s v="Organic"/>
    <x v="2"/>
    <n v="0"/>
    <n v="0"/>
    <n v="0"/>
    <n v="0"/>
    <n v="0"/>
    <n v="0"/>
    <n v="0"/>
    <m/>
    <n v="54.7"/>
  </r>
  <r>
    <x v="1213"/>
    <d v="2025-05-12T00:00:00"/>
    <x v="1"/>
    <s v="South"/>
    <s v="Mobile"/>
    <s v="Organic"/>
    <x v="0"/>
    <n v="1"/>
    <n v="1"/>
    <n v="0"/>
    <n v="0"/>
    <n v="0"/>
    <n v="0"/>
    <n v="0"/>
    <m/>
    <n v="64.099999999999994"/>
  </r>
  <r>
    <x v="1214"/>
    <d v="2025-03-28T00:00:00"/>
    <x v="1"/>
    <s v="South"/>
    <s v="Mobile"/>
    <s v="Organic"/>
    <x v="0"/>
    <n v="1"/>
    <n v="1"/>
    <n v="1"/>
    <n v="0"/>
    <n v="0"/>
    <n v="0"/>
    <n v="0"/>
    <m/>
    <n v="71.599999999999994"/>
  </r>
  <r>
    <x v="1215"/>
    <d v="2025-04-14T00:00:00"/>
    <x v="1"/>
    <s v="North"/>
    <s v="Mobile"/>
    <s v="Referral"/>
    <x v="0"/>
    <n v="1"/>
    <n v="0"/>
    <n v="0"/>
    <n v="0"/>
    <n v="0"/>
    <n v="0"/>
    <n v="0"/>
    <m/>
    <n v="78.400000000000006"/>
  </r>
  <r>
    <x v="1216"/>
    <d v="2025-01-28T00:00:00"/>
    <x v="1"/>
    <s v="East"/>
    <s v="Tablet"/>
    <s v="Referral"/>
    <x v="0"/>
    <n v="0"/>
    <n v="0"/>
    <n v="0"/>
    <n v="0"/>
    <n v="0"/>
    <n v="0"/>
    <n v="0"/>
    <m/>
    <n v="49.3"/>
  </r>
  <r>
    <x v="1217"/>
    <d v="2025-05-21T00:00:00"/>
    <x v="1"/>
    <s v="North"/>
    <s v="Mobile"/>
    <s v="Organic"/>
    <x v="0"/>
    <n v="0"/>
    <n v="0"/>
    <n v="0"/>
    <n v="0"/>
    <n v="0"/>
    <n v="0"/>
    <n v="0"/>
    <m/>
    <n v="52.8"/>
  </r>
  <r>
    <x v="1218"/>
    <d v="2025-05-11T00:00:00"/>
    <x v="1"/>
    <s v="West"/>
    <s v="Desktop"/>
    <s v="Organic"/>
    <x v="1"/>
    <n v="0"/>
    <n v="0"/>
    <n v="0"/>
    <n v="0"/>
    <n v="0"/>
    <n v="0"/>
    <n v="0"/>
    <m/>
    <n v="58.5"/>
  </r>
  <r>
    <x v="1219"/>
    <d v="2025-02-02T00:00:00"/>
    <x v="1"/>
    <s v="South"/>
    <s v="Mobile"/>
    <s v="Paid Search"/>
    <x v="1"/>
    <n v="1"/>
    <n v="0"/>
    <n v="0"/>
    <n v="0"/>
    <n v="0"/>
    <n v="0"/>
    <n v="0"/>
    <m/>
    <n v="55.9"/>
  </r>
  <r>
    <x v="1220"/>
    <d v="2025-02-26T00:00:00"/>
    <x v="1"/>
    <s v="North"/>
    <s v="Mobile"/>
    <s v="Social"/>
    <x v="1"/>
    <n v="1"/>
    <n v="1"/>
    <n v="1"/>
    <n v="1"/>
    <n v="351.43"/>
    <n v="1"/>
    <n v="0"/>
    <n v="6"/>
    <n v="74.900000000000006"/>
  </r>
  <r>
    <x v="1221"/>
    <d v="2025-02-27T00:00:00"/>
    <x v="1"/>
    <s v="South"/>
    <s v="Desktop"/>
    <s v="Referral"/>
    <x v="1"/>
    <n v="1"/>
    <n v="1"/>
    <n v="1"/>
    <n v="1"/>
    <n v="352.42"/>
    <n v="0"/>
    <n v="0"/>
    <n v="4"/>
    <n v="58.5"/>
  </r>
  <r>
    <x v="1222"/>
    <d v="2025-03-09T00:00:00"/>
    <x v="1"/>
    <s v="West"/>
    <s v="Mobile"/>
    <s v="Organic"/>
    <x v="1"/>
    <n v="0"/>
    <n v="0"/>
    <n v="0"/>
    <n v="0"/>
    <n v="0"/>
    <n v="0"/>
    <n v="0"/>
    <m/>
    <n v="63.5"/>
  </r>
  <r>
    <x v="1223"/>
    <d v="2025-02-07T00:00:00"/>
    <x v="1"/>
    <s v="North"/>
    <s v="Mobile"/>
    <s v="Paid Search"/>
    <x v="0"/>
    <n v="1"/>
    <n v="0"/>
    <n v="0"/>
    <n v="0"/>
    <n v="0"/>
    <n v="1"/>
    <n v="0"/>
    <m/>
    <n v="64.8"/>
  </r>
  <r>
    <x v="1224"/>
    <d v="2025-01-31T00:00:00"/>
    <x v="1"/>
    <s v="West"/>
    <s v="Mobile"/>
    <s v="Social"/>
    <x v="1"/>
    <n v="0"/>
    <n v="0"/>
    <n v="0"/>
    <n v="0"/>
    <n v="0"/>
    <n v="0"/>
    <n v="0"/>
    <m/>
    <n v="63.3"/>
  </r>
  <r>
    <x v="1225"/>
    <d v="2025-02-14T00:00:00"/>
    <x v="1"/>
    <s v="North"/>
    <s v="Tablet"/>
    <s v="Paid Search"/>
    <x v="0"/>
    <n v="1"/>
    <n v="1"/>
    <n v="1"/>
    <n v="1"/>
    <n v="1074.1600000000001"/>
    <n v="0"/>
    <n v="0"/>
    <n v="8"/>
    <n v="83.7"/>
  </r>
  <r>
    <x v="1226"/>
    <d v="2025-02-12T00:00:00"/>
    <x v="1"/>
    <s v="South"/>
    <s v="Desktop"/>
    <s v="Social"/>
    <x v="0"/>
    <n v="0"/>
    <n v="0"/>
    <n v="0"/>
    <n v="0"/>
    <n v="0"/>
    <n v="0"/>
    <n v="0"/>
    <m/>
    <n v="88.7"/>
  </r>
  <r>
    <x v="1227"/>
    <d v="2025-03-23T00:00:00"/>
    <x v="1"/>
    <s v="East"/>
    <m/>
    <s v="Paid Search"/>
    <x v="1"/>
    <n v="1"/>
    <n v="0"/>
    <n v="0"/>
    <n v="0"/>
    <n v="0"/>
    <n v="1"/>
    <n v="0"/>
    <m/>
    <n v="61.5"/>
  </r>
  <r>
    <x v="1228"/>
    <d v="2025-03-18T00:00:00"/>
    <x v="1"/>
    <s v="West"/>
    <s v="Mobile"/>
    <s v="Paid Search"/>
    <x v="1"/>
    <n v="0"/>
    <n v="0"/>
    <n v="0"/>
    <n v="0"/>
    <n v="0"/>
    <n v="0"/>
    <n v="0"/>
    <m/>
    <n v="45.3"/>
  </r>
  <r>
    <x v="1229"/>
    <d v="2025-05-17T00:00:00"/>
    <x v="1"/>
    <s v="North"/>
    <s v="Mobile"/>
    <s v="Social"/>
    <x v="1"/>
    <n v="1"/>
    <n v="0"/>
    <n v="0"/>
    <n v="0"/>
    <n v="0"/>
    <n v="0"/>
    <n v="0"/>
    <m/>
    <n v="37.299999999999997"/>
  </r>
  <r>
    <x v="1230"/>
    <d v="2025-03-26T00:00:00"/>
    <x v="1"/>
    <s v="West"/>
    <s v="Desktop"/>
    <s v="Social"/>
    <x v="2"/>
    <n v="1"/>
    <n v="0"/>
    <n v="0"/>
    <n v="0"/>
    <n v="0"/>
    <n v="1"/>
    <n v="0"/>
    <m/>
    <n v="76.099999999999994"/>
  </r>
  <r>
    <x v="1231"/>
    <d v="2025-03-30T00:00:00"/>
    <x v="1"/>
    <s v="East"/>
    <s v="Mobile"/>
    <s v="Organic"/>
    <x v="1"/>
    <n v="1"/>
    <n v="1"/>
    <n v="1"/>
    <n v="0"/>
    <n v="0"/>
    <n v="1"/>
    <n v="0"/>
    <m/>
    <n v="72.5"/>
  </r>
  <r>
    <x v="1232"/>
    <d v="2025-02-25T00:00:00"/>
    <x v="1"/>
    <s v="East"/>
    <s v="Desktop"/>
    <s v="Organic"/>
    <x v="1"/>
    <n v="1"/>
    <n v="0"/>
    <n v="0"/>
    <n v="0"/>
    <n v="0"/>
    <n v="0"/>
    <n v="0"/>
    <m/>
    <n v="62.3"/>
  </r>
  <r>
    <x v="1233"/>
    <d v="2025-03-01T00:00:00"/>
    <x v="1"/>
    <s v="East"/>
    <s v="Desktop"/>
    <s v="Social"/>
    <x v="1"/>
    <n v="0"/>
    <n v="0"/>
    <n v="0"/>
    <n v="0"/>
    <n v="0"/>
    <n v="0"/>
    <n v="0"/>
    <m/>
    <n v="62.7"/>
  </r>
  <r>
    <x v="1234"/>
    <d v="2025-05-27T00:00:00"/>
    <x v="1"/>
    <s v="North"/>
    <s v="Mobile"/>
    <s v="Paid Search"/>
    <x v="0"/>
    <n v="0"/>
    <n v="0"/>
    <n v="0"/>
    <n v="0"/>
    <n v="0"/>
    <n v="0"/>
    <n v="0"/>
    <m/>
    <n v="82.4"/>
  </r>
  <r>
    <x v="1235"/>
    <d v="2025-02-05T00:00:00"/>
    <x v="1"/>
    <s v="West"/>
    <s v="Mobile"/>
    <m/>
    <x v="2"/>
    <n v="1"/>
    <n v="0"/>
    <n v="0"/>
    <n v="0"/>
    <n v="0"/>
    <n v="0"/>
    <n v="0"/>
    <m/>
    <n v="78.900000000000006"/>
  </r>
  <r>
    <x v="1236"/>
    <d v="2025-01-25T00:00:00"/>
    <x v="1"/>
    <s v="West"/>
    <s v="Desktop"/>
    <s v="Email"/>
    <x v="1"/>
    <n v="1"/>
    <n v="1"/>
    <n v="1"/>
    <n v="1"/>
    <n v="618.91"/>
    <n v="0"/>
    <n v="0"/>
    <n v="4"/>
    <n v="67.8"/>
  </r>
  <r>
    <x v="1237"/>
    <d v="2025-04-10T00:00:00"/>
    <x v="1"/>
    <s v="East"/>
    <s v="Mobile"/>
    <s v="Organic"/>
    <x v="2"/>
    <n v="1"/>
    <n v="0"/>
    <n v="0"/>
    <n v="0"/>
    <n v="0"/>
    <n v="0"/>
    <n v="0"/>
    <m/>
    <n v="68.8"/>
  </r>
  <r>
    <x v="1238"/>
    <d v="2025-01-10T00:00:00"/>
    <x v="1"/>
    <s v="East"/>
    <s v="Mobile"/>
    <s v="Organic"/>
    <x v="2"/>
    <n v="1"/>
    <n v="0"/>
    <n v="0"/>
    <n v="0"/>
    <n v="0"/>
    <n v="0"/>
    <n v="0"/>
    <m/>
    <n v="67.7"/>
  </r>
  <r>
    <x v="1239"/>
    <d v="2025-02-23T00:00:00"/>
    <x v="1"/>
    <s v="East"/>
    <s v="Mobile"/>
    <m/>
    <x v="1"/>
    <n v="0"/>
    <n v="0"/>
    <n v="0"/>
    <n v="0"/>
    <n v="0"/>
    <n v="0"/>
    <n v="0"/>
    <m/>
    <n v="88"/>
  </r>
  <r>
    <x v="1240"/>
    <d v="2025-05-23T00:00:00"/>
    <x v="1"/>
    <s v="West"/>
    <s v="Desktop"/>
    <s v="Organic"/>
    <x v="0"/>
    <n v="1"/>
    <n v="1"/>
    <n v="0"/>
    <n v="0"/>
    <n v="0"/>
    <n v="0"/>
    <n v="0"/>
    <m/>
    <n v="80.099999999999994"/>
  </r>
  <r>
    <x v="1241"/>
    <d v="2025-03-08T00:00:00"/>
    <x v="1"/>
    <s v="North"/>
    <s v="Tablet"/>
    <s v="Email"/>
    <x v="0"/>
    <n v="0"/>
    <n v="0"/>
    <n v="0"/>
    <n v="0"/>
    <n v="0"/>
    <n v="1"/>
    <n v="0"/>
    <m/>
    <n v="48.2"/>
  </r>
  <r>
    <x v="1242"/>
    <d v="2025-05-21T00:00:00"/>
    <x v="1"/>
    <s v="East"/>
    <s v="Mobile"/>
    <s v="Organic"/>
    <x v="0"/>
    <n v="1"/>
    <n v="0"/>
    <n v="0"/>
    <n v="0"/>
    <n v="0"/>
    <n v="0"/>
    <n v="0"/>
    <m/>
    <n v="52.7"/>
  </r>
  <r>
    <x v="1243"/>
    <d v="2025-04-22T00:00:00"/>
    <x v="1"/>
    <s v="North"/>
    <s v="Mobile"/>
    <s v="Email"/>
    <x v="0"/>
    <n v="1"/>
    <n v="1"/>
    <n v="0"/>
    <n v="0"/>
    <n v="0"/>
    <n v="0"/>
    <n v="0"/>
    <m/>
    <n v="59.9"/>
  </r>
  <r>
    <x v="1244"/>
    <d v="2025-04-16T00:00:00"/>
    <x v="1"/>
    <s v="North"/>
    <s v="Mobile"/>
    <s v="Email"/>
    <x v="2"/>
    <n v="1"/>
    <n v="0"/>
    <n v="0"/>
    <n v="0"/>
    <n v="0"/>
    <n v="0"/>
    <n v="0"/>
    <m/>
    <n v="49.5"/>
  </r>
  <r>
    <x v="1245"/>
    <d v="2025-05-08T00:00:00"/>
    <x v="1"/>
    <s v="North"/>
    <s v="Tablet"/>
    <s v="Organic"/>
    <x v="1"/>
    <n v="1"/>
    <n v="0"/>
    <n v="0"/>
    <n v="0"/>
    <n v="0"/>
    <n v="0"/>
    <n v="0"/>
    <m/>
    <n v="41.5"/>
  </r>
  <r>
    <x v="1246"/>
    <d v="2025-05-22T00:00:00"/>
    <x v="1"/>
    <s v="North"/>
    <s v="Mobile"/>
    <s v="Paid Search"/>
    <x v="0"/>
    <n v="1"/>
    <n v="0"/>
    <n v="0"/>
    <n v="0"/>
    <n v="0"/>
    <n v="0"/>
    <n v="0"/>
    <m/>
    <n v="71.2"/>
  </r>
  <r>
    <x v="1247"/>
    <d v="2025-03-21T00:00:00"/>
    <x v="1"/>
    <s v="North"/>
    <s v="Mobile"/>
    <s v="Referral"/>
    <x v="0"/>
    <n v="1"/>
    <n v="1"/>
    <n v="1"/>
    <n v="0"/>
    <n v="0"/>
    <n v="0"/>
    <n v="0"/>
    <m/>
    <n v="65.8"/>
  </r>
  <r>
    <x v="1248"/>
    <d v="2025-03-22T00:00:00"/>
    <x v="1"/>
    <s v="East"/>
    <s v="Mobile"/>
    <s v="Organic"/>
    <x v="0"/>
    <n v="1"/>
    <n v="0"/>
    <n v="0"/>
    <n v="0"/>
    <n v="0"/>
    <n v="1"/>
    <n v="0"/>
    <m/>
    <n v="55.1"/>
  </r>
  <r>
    <x v="1249"/>
    <d v="2025-01-10T00:00:00"/>
    <x v="1"/>
    <s v="West"/>
    <s v="Desktop"/>
    <s v="Social"/>
    <x v="1"/>
    <n v="1"/>
    <n v="0"/>
    <n v="0"/>
    <n v="0"/>
    <n v="0"/>
    <n v="0"/>
    <n v="0"/>
    <m/>
    <n v="54.6"/>
  </r>
  <r>
    <x v="1250"/>
    <d v="2025-02-01T00:00:00"/>
    <x v="1"/>
    <s v="East"/>
    <s v="Mobile"/>
    <s v="Organic"/>
    <x v="0"/>
    <n v="1"/>
    <n v="1"/>
    <n v="1"/>
    <n v="1"/>
    <n v="923.67"/>
    <n v="0"/>
    <n v="0"/>
    <n v="4"/>
    <n v="81.900000000000006"/>
  </r>
  <r>
    <x v="1251"/>
    <d v="2025-03-31T00:00:00"/>
    <x v="1"/>
    <s v="South"/>
    <s v="Mobile"/>
    <s v="Paid Search"/>
    <x v="0"/>
    <n v="1"/>
    <n v="1"/>
    <n v="0"/>
    <n v="0"/>
    <n v="0"/>
    <n v="3"/>
    <n v="0"/>
    <m/>
    <n v="63.2"/>
  </r>
  <r>
    <x v="1252"/>
    <d v="2025-04-25T00:00:00"/>
    <x v="1"/>
    <s v="North"/>
    <s v="Mobile"/>
    <s v="Paid Search"/>
    <x v="1"/>
    <n v="1"/>
    <n v="0"/>
    <n v="0"/>
    <n v="0"/>
    <n v="0"/>
    <n v="0"/>
    <n v="0"/>
    <m/>
    <n v="55.4"/>
  </r>
  <r>
    <x v="1253"/>
    <d v="2025-05-02T00:00:00"/>
    <x v="1"/>
    <s v="West"/>
    <s v="Mobile"/>
    <s v="Social"/>
    <x v="0"/>
    <n v="0"/>
    <n v="0"/>
    <n v="0"/>
    <n v="0"/>
    <n v="0"/>
    <n v="0"/>
    <n v="0"/>
    <m/>
    <n v="87.5"/>
  </r>
  <r>
    <x v="1254"/>
    <d v="2025-03-08T00:00:00"/>
    <x v="1"/>
    <s v="South"/>
    <s v="Desktop"/>
    <s v="Social"/>
    <x v="0"/>
    <n v="1"/>
    <n v="0"/>
    <n v="0"/>
    <n v="0"/>
    <n v="0"/>
    <n v="0"/>
    <n v="0"/>
    <m/>
    <n v="48.5"/>
  </r>
  <r>
    <x v="1255"/>
    <d v="2025-01-27T00:00:00"/>
    <x v="1"/>
    <s v="East"/>
    <s v="Desktop"/>
    <m/>
    <x v="1"/>
    <n v="1"/>
    <n v="1"/>
    <n v="1"/>
    <n v="1"/>
    <n v="420.27"/>
    <n v="0"/>
    <n v="0"/>
    <n v="6"/>
    <n v="58.4"/>
  </r>
  <r>
    <x v="1256"/>
    <d v="2025-04-27T00:00:00"/>
    <x v="1"/>
    <s v="West"/>
    <s v="Mobile"/>
    <s v="Paid Search"/>
    <x v="1"/>
    <n v="0"/>
    <n v="0"/>
    <n v="0"/>
    <n v="0"/>
    <n v="0"/>
    <n v="0"/>
    <n v="0"/>
    <m/>
    <n v="59.5"/>
  </r>
  <r>
    <x v="1257"/>
    <d v="2025-01-16T00:00:00"/>
    <x v="1"/>
    <s v="West"/>
    <s v="Desktop"/>
    <s v="Paid Search"/>
    <x v="0"/>
    <n v="1"/>
    <n v="0"/>
    <n v="0"/>
    <n v="0"/>
    <n v="0"/>
    <n v="0"/>
    <n v="0"/>
    <m/>
    <n v="93.2"/>
  </r>
  <r>
    <x v="1258"/>
    <d v="2025-01-18T00:00:00"/>
    <x v="1"/>
    <s v="West"/>
    <s v="Desktop"/>
    <s v="Paid Search"/>
    <x v="0"/>
    <n v="1"/>
    <n v="0"/>
    <n v="0"/>
    <n v="0"/>
    <n v="0"/>
    <n v="0"/>
    <n v="0"/>
    <m/>
    <n v="59"/>
  </r>
  <r>
    <x v="1259"/>
    <d v="2025-03-21T00:00:00"/>
    <x v="1"/>
    <s v="North"/>
    <s v="Mobile"/>
    <s v="Organic"/>
    <x v="1"/>
    <n v="1"/>
    <n v="0"/>
    <n v="0"/>
    <n v="0"/>
    <n v="0"/>
    <n v="0"/>
    <n v="0"/>
    <m/>
    <n v="37"/>
  </r>
  <r>
    <x v="1260"/>
    <d v="2025-04-02T00:00:00"/>
    <x v="1"/>
    <s v="North"/>
    <s v="Desktop"/>
    <s v="Paid Search"/>
    <x v="1"/>
    <n v="1"/>
    <n v="0"/>
    <n v="0"/>
    <n v="0"/>
    <n v="0"/>
    <n v="0"/>
    <n v="0"/>
    <m/>
    <n v="47.5"/>
  </r>
  <r>
    <x v="1261"/>
    <d v="2025-02-16T00:00:00"/>
    <x v="1"/>
    <s v="West"/>
    <s v="Desktop"/>
    <s v="Organic"/>
    <x v="1"/>
    <n v="1"/>
    <n v="1"/>
    <n v="1"/>
    <n v="0"/>
    <n v="0"/>
    <n v="0"/>
    <n v="0"/>
    <m/>
    <n v="78.7"/>
  </r>
  <r>
    <x v="1262"/>
    <d v="2025-02-18T00:00:00"/>
    <x v="1"/>
    <s v="North"/>
    <s v="Mobile"/>
    <s v="Social"/>
    <x v="1"/>
    <n v="1"/>
    <n v="0"/>
    <n v="0"/>
    <n v="0"/>
    <n v="0"/>
    <n v="0"/>
    <n v="0"/>
    <m/>
    <n v="49.6"/>
  </r>
  <r>
    <x v="1263"/>
    <d v="2025-01-09T00:00:00"/>
    <x v="1"/>
    <s v="East"/>
    <s v="Mobile"/>
    <s v="Organic"/>
    <x v="1"/>
    <n v="1"/>
    <n v="0"/>
    <n v="0"/>
    <n v="0"/>
    <n v="0"/>
    <n v="0"/>
    <n v="0"/>
    <m/>
    <n v="58"/>
  </r>
  <r>
    <x v="1264"/>
    <d v="2025-02-18T00:00:00"/>
    <x v="1"/>
    <s v="North"/>
    <s v="Desktop"/>
    <s v="Paid Search"/>
    <x v="1"/>
    <n v="1"/>
    <n v="0"/>
    <n v="0"/>
    <n v="0"/>
    <n v="0"/>
    <n v="1"/>
    <n v="0"/>
    <m/>
    <n v="54.4"/>
  </r>
  <r>
    <x v="1265"/>
    <d v="2025-01-10T00:00:00"/>
    <x v="1"/>
    <s v="East"/>
    <s v="Mobile"/>
    <s v="Referral"/>
    <x v="1"/>
    <n v="0"/>
    <n v="0"/>
    <n v="0"/>
    <n v="0"/>
    <n v="0"/>
    <n v="0"/>
    <n v="0"/>
    <m/>
    <n v="33.700000000000003"/>
  </r>
  <r>
    <x v="1266"/>
    <d v="2025-03-08T00:00:00"/>
    <x v="1"/>
    <s v="West"/>
    <s v="Mobile"/>
    <s v="Email"/>
    <x v="1"/>
    <n v="1"/>
    <n v="0"/>
    <n v="0"/>
    <n v="0"/>
    <n v="0"/>
    <n v="0"/>
    <n v="0"/>
    <m/>
    <n v="72.7"/>
  </r>
  <r>
    <x v="1267"/>
    <d v="2025-04-16T00:00:00"/>
    <x v="1"/>
    <s v="East"/>
    <s v="Desktop"/>
    <s v="Paid Search"/>
    <x v="0"/>
    <n v="0"/>
    <n v="0"/>
    <n v="0"/>
    <n v="0"/>
    <n v="0"/>
    <n v="0"/>
    <n v="0"/>
    <m/>
    <n v="64.7"/>
  </r>
  <r>
    <x v="1268"/>
    <d v="2025-02-19T00:00:00"/>
    <x v="1"/>
    <s v="West"/>
    <s v="Desktop"/>
    <s v="Paid Search"/>
    <x v="2"/>
    <n v="0"/>
    <n v="0"/>
    <n v="0"/>
    <n v="0"/>
    <n v="0"/>
    <n v="1"/>
    <n v="0"/>
    <m/>
    <n v="48.6"/>
  </r>
  <r>
    <x v="1269"/>
    <d v="2025-03-16T00:00:00"/>
    <x v="1"/>
    <s v="East"/>
    <s v="Desktop"/>
    <s v="Social"/>
    <x v="1"/>
    <n v="1"/>
    <n v="1"/>
    <n v="0"/>
    <n v="0"/>
    <n v="0"/>
    <n v="0"/>
    <n v="0"/>
    <m/>
    <n v="66.2"/>
  </r>
  <r>
    <x v="1270"/>
    <d v="2025-02-03T00:00:00"/>
    <x v="1"/>
    <s v="West"/>
    <m/>
    <s v="Referral"/>
    <x v="0"/>
    <n v="1"/>
    <n v="0"/>
    <n v="0"/>
    <n v="0"/>
    <n v="0"/>
    <n v="1"/>
    <n v="0"/>
    <m/>
    <n v="60.7"/>
  </r>
  <r>
    <x v="1271"/>
    <d v="2025-03-12T00:00:00"/>
    <x v="1"/>
    <s v="West"/>
    <s v="Mobile"/>
    <s v="Paid Search"/>
    <x v="0"/>
    <n v="1"/>
    <n v="0"/>
    <n v="0"/>
    <n v="0"/>
    <n v="0"/>
    <n v="0"/>
    <n v="0"/>
    <m/>
    <n v="36.5"/>
  </r>
  <r>
    <x v="1272"/>
    <d v="2025-05-09T00:00:00"/>
    <x v="1"/>
    <s v="West"/>
    <s v="Mobile"/>
    <s v="Social"/>
    <x v="1"/>
    <n v="1"/>
    <n v="1"/>
    <n v="1"/>
    <n v="0"/>
    <n v="0"/>
    <n v="3"/>
    <n v="0"/>
    <m/>
    <n v="69.7"/>
  </r>
  <r>
    <x v="1273"/>
    <d v="2025-01-19T00:00:00"/>
    <x v="1"/>
    <s v="South"/>
    <s v="Desktop"/>
    <s v="Social"/>
    <x v="2"/>
    <n v="1"/>
    <n v="0"/>
    <n v="0"/>
    <n v="0"/>
    <n v="0"/>
    <n v="0"/>
    <n v="0"/>
    <m/>
    <n v="81.8"/>
  </r>
  <r>
    <x v="1274"/>
    <d v="2025-01-24T00:00:00"/>
    <x v="1"/>
    <s v="West"/>
    <s v="Mobile"/>
    <s v="Referral"/>
    <x v="1"/>
    <n v="1"/>
    <n v="1"/>
    <n v="1"/>
    <n v="0"/>
    <n v="0"/>
    <n v="1"/>
    <n v="0"/>
    <m/>
    <n v="78.3"/>
  </r>
  <r>
    <x v="1275"/>
    <d v="2025-03-03T00:00:00"/>
    <x v="1"/>
    <s v="East"/>
    <s v="Mobile"/>
    <s v="Referral"/>
    <x v="1"/>
    <n v="1"/>
    <n v="1"/>
    <n v="0"/>
    <n v="0"/>
    <n v="0"/>
    <n v="0"/>
    <n v="0"/>
    <m/>
    <n v="79.400000000000006"/>
  </r>
  <r>
    <x v="1276"/>
    <d v="2025-05-27T00:00:00"/>
    <x v="1"/>
    <s v="North"/>
    <s v="Desktop"/>
    <s v="Referral"/>
    <x v="1"/>
    <n v="1"/>
    <n v="1"/>
    <n v="1"/>
    <n v="0"/>
    <n v="0"/>
    <n v="0"/>
    <n v="0"/>
    <m/>
    <n v="54.9"/>
  </r>
  <r>
    <x v="1277"/>
    <d v="2025-04-23T00:00:00"/>
    <x v="1"/>
    <s v="West"/>
    <s v="Desktop"/>
    <s v="Organic"/>
    <x v="0"/>
    <n v="1"/>
    <n v="0"/>
    <n v="0"/>
    <n v="0"/>
    <n v="0"/>
    <n v="0"/>
    <n v="0"/>
    <m/>
    <n v="54.9"/>
  </r>
  <r>
    <x v="1278"/>
    <d v="2025-02-10T00:00:00"/>
    <x v="1"/>
    <s v="East"/>
    <s v="Desktop"/>
    <s v="Social"/>
    <x v="1"/>
    <n v="0"/>
    <n v="0"/>
    <n v="0"/>
    <n v="0"/>
    <n v="0"/>
    <n v="0"/>
    <n v="0"/>
    <m/>
    <n v="28.7"/>
  </r>
  <r>
    <x v="1279"/>
    <d v="2025-02-11T00:00:00"/>
    <x v="1"/>
    <s v="North"/>
    <s v="Mobile"/>
    <s v="Organic"/>
    <x v="1"/>
    <n v="0"/>
    <n v="0"/>
    <n v="0"/>
    <n v="0"/>
    <n v="0"/>
    <n v="0"/>
    <n v="0"/>
    <m/>
    <n v="68.8"/>
  </r>
  <r>
    <x v="1280"/>
    <d v="2025-01-21T00:00:00"/>
    <x v="1"/>
    <s v="East"/>
    <s v="Desktop"/>
    <s v="Paid Search"/>
    <x v="1"/>
    <n v="1"/>
    <n v="1"/>
    <n v="1"/>
    <n v="0"/>
    <n v="0"/>
    <n v="0"/>
    <n v="0"/>
    <m/>
    <n v="43.5"/>
  </r>
  <r>
    <x v="1281"/>
    <d v="2025-02-02T00:00:00"/>
    <x v="1"/>
    <s v="West"/>
    <s v="Desktop"/>
    <s v="Social"/>
    <x v="1"/>
    <n v="1"/>
    <n v="1"/>
    <n v="0"/>
    <n v="0"/>
    <n v="0"/>
    <n v="0"/>
    <n v="0"/>
    <m/>
    <n v="62.6"/>
  </r>
  <r>
    <x v="1282"/>
    <d v="2025-02-02T00:00:00"/>
    <x v="1"/>
    <s v="West"/>
    <s v="Mobile"/>
    <s v="Organic"/>
    <x v="1"/>
    <n v="0"/>
    <n v="0"/>
    <n v="0"/>
    <n v="0"/>
    <n v="0"/>
    <n v="1"/>
    <n v="0"/>
    <m/>
    <n v="54.1"/>
  </r>
  <r>
    <x v="1283"/>
    <d v="2025-02-26T00:00:00"/>
    <x v="1"/>
    <s v="West"/>
    <s v="Tablet"/>
    <s v="Social"/>
    <x v="1"/>
    <n v="1"/>
    <n v="1"/>
    <n v="1"/>
    <n v="0"/>
    <n v="0"/>
    <n v="0"/>
    <n v="0"/>
    <m/>
    <n v="80.099999999999994"/>
  </r>
  <r>
    <x v="1284"/>
    <d v="2025-04-22T00:00:00"/>
    <x v="1"/>
    <s v="North"/>
    <s v="Mobile"/>
    <s v="Social"/>
    <x v="2"/>
    <n v="1"/>
    <n v="0"/>
    <n v="0"/>
    <n v="0"/>
    <n v="0"/>
    <n v="0"/>
    <n v="0"/>
    <m/>
    <n v="69.5"/>
  </r>
  <r>
    <x v="1285"/>
    <d v="2025-03-11T00:00:00"/>
    <x v="1"/>
    <s v="North"/>
    <s v="Desktop"/>
    <s v="Organic"/>
    <x v="0"/>
    <n v="0"/>
    <n v="0"/>
    <n v="0"/>
    <n v="0"/>
    <n v="0"/>
    <n v="2"/>
    <n v="0"/>
    <m/>
    <n v="46.6"/>
  </r>
  <r>
    <x v="1286"/>
    <d v="2025-05-08T00:00:00"/>
    <x v="1"/>
    <s v="South"/>
    <s v="Mobile"/>
    <s v="Organic"/>
    <x v="2"/>
    <n v="1"/>
    <n v="0"/>
    <n v="0"/>
    <n v="0"/>
    <n v="0"/>
    <n v="1"/>
    <n v="0"/>
    <m/>
    <n v="54.9"/>
  </r>
  <r>
    <x v="1287"/>
    <d v="2025-03-10T00:00:00"/>
    <x v="1"/>
    <s v="East"/>
    <s v="Desktop"/>
    <s v="Organic"/>
    <x v="1"/>
    <n v="0"/>
    <n v="0"/>
    <n v="0"/>
    <n v="0"/>
    <n v="0"/>
    <n v="0"/>
    <n v="0"/>
    <m/>
    <n v="100"/>
  </r>
  <r>
    <x v="1288"/>
    <d v="2025-04-16T00:00:00"/>
    <x v="1"/>
    <s v="East"/>
    <s v="Desktop"/>
    <s v="Paid Search"/>
    <x v="1"/>
    <n v="1"/>
    <n v="1"/>
    <n v="1"/>
    <n v="0"/>
    <n v="0"/>
    <n v="1"/>
    <n v="0"/>
    <m/>
    <n v="80.5"/>
  </r>
  <r>
    <x v="1289"/>
    <d v="2025-03-01T00:00:00"/>
    <x v="1"/>
    <s v="West"/>
    <s v="Tablet"/>
    <s v="Organic"/>
    <x v="0"/>
    <n v="1"/>
    <n v="0"/>
    <n v="0"/>
    <n v="0"/>
    <n v="0"/>
    <n v="0"/>
    <n v="0"/>
    <m/>
    <n v="51.2"/>
  </r>
  <r>
    <x v="1290"/>
    <d v="2025-01-18T00:00:00"/>
    <x v="1"/>
    <s v="South"/>
    <s v="Desktop"/>
    <s v="Organic"/>
    <x v="2"/>
    <n v="1"/>
    <n v="0"/>
    <n v="0"/>
    <n v="0"/>
    <n v="0"/>
    <n v="0"/>
    <n v="0"/>
    <m/>
    <n v="42.5"/>
  </r>
  <r>
    <x v="1291"/>
    <d v="2025-03-30T00:00:00"/>
    <x v="1"/>
    <s v="North"/>
    <s v="Mobile"/>
    <s v="Paid Search"/>
    <x v="1"/>
    <n v="0"/>
    <n v="0"/>
    <n v="0"/>
    <n v="0"/>
    <n v="0"/>
    <n v="0"/>
    <n v="0"/>
    <m/>
    <n v="72.5"/>
  </r>
  <r>
    <x v="1292"/>
    <d v="2025-05-26T00:00:00"/>
    <x v="1"/>
    <s v="West"/>
    <s v="Mobile"/>
    <s v="Social"/>
    <x v="2"/>
    <n v="0"/>
    <n v="0"/>
    <n v="0"/>
    <n v="0"/>
    <n v="0"/>
    <n v="0"/>
    <n v="0"/>
    <m/>
    <n v="74.400000000000006"/>
  </r>
  <r>
    <x v="1293"/>
    <d v="2025-03-19T00:00:00"/>
    <x v="1"/>
    <s v="East"/>
    <s v="Desktop"/>
    <s v="Social"/>
    <x v="1"/>
    <n v="0"/>
    <n v="0"/>
    <n v="0"/>
    <n v="0"/>
    <n v="0"/>
    <n v="0"/>
    <n v="0"/>
    <m/>
    <n v="78.400000000000006"/>
  </r>
  <r>
    <x v="1294"/>
    <d v="2025-03-28T00:00:00"/>
    <x v="1"/>
    <s v="North"/>
    <s v="Desktop"/>
    <s v="Referral"/>
    <x v="1"/>
    <n v="1"/>
    <n v="0"/>
    <n v="0"/>
    <n v="0"/>
    <n v="0"/>
    <n v="0"/>
    <n v="0"/>
    <m/>
    <n v="71.5"/>
  </r>
  <r>
    <x v="1295"/>
    <d v="2025-05-28T00:00:00"/>
    <x v="1"/>
    <s v="South"/>
    <s v="Desktop"/>
    <s v="Social"/>
    <x v="1"/>
    <n v="1"/>
    <n v="0"/>
    <n v="0"/>
    <n v="0"/>
    <n v="0"/>
    <n v="0"/>
    <n v="0"/>
    <m/>
    <n v="66.7"/>
  </r>
  <r>
    <x v="1296"/>
    <d v="2025-05-31T00:00:00"/>
    <x v="1"/>
    <s v="South"/>
    <s v="Desktop"/>
    <s v="Referral"/>
    <x v="2"/>
    <n v="1"/>
    <n v="1"/>
    <n v="1"/>
    <n v="1"/>
    <n v="1496.09"/>
    <n v="0"/>
    <n v="0"/>
    <n v="7"/>
    <n v="60.4"/>
  </r>
  <r>
    <x v="1297"/>
    <d v="2025-05-10T00:00:00"/>
    <x v="1"/>
    <s v="North"/>
    <s v="Mobile"/>
    <s v="Referral"/>
    <x v="1"/>
    <n v="0"/>
    <n v="0"/>
    <n v="0"/>
    <n v="0"/>
    <n v="0"/>
    <n v="1"/>
    <n v="0"/>
    <m/>
    <n v="72.900000000000006"/>
  </r>
  <r>
    <x v="1298"/>
    <d v="2025-05-17T00:00:00"/>
    <x v="1"/>
    <s v="West"/>
    <s v="Mobile"/>
    <s v="Organic"/>
    <x v="1"/>
    <n v="0"/>
    <n v="0"/>
    <n v="0"/>
    <n v="0"/>
    <n v="0"/>
    <n v="3"/>
    <n v="0"/>
    <m/>
    <m/>
  </r>
  <r>
    <x v="1299"/>
    <d v="2025-01-18T00:00:00"/>
    <x v="1"/>
    <s v="South"/>
    <s v="Mobile"/>
    <s v="Organic"/>
    <x v="2"/>
    <n v="1"/>
    <n v="0"/>
    <n v="0"/>
    <n v="0"/>
    <n v="0"/>
    <n v="0"/>
    <n v="0"/>
    <m/>
    <n v="55.2"/>
  </r>
  <r>
    <x v="1300"/>
    <d v="2025-05-04T00:00:00"/>
    <x v="1"/>
    <s v="West"/>
    <s v="Mobile"/>
    <s v="Social"/>
    <x v="1"/>
    <n v="1"/>
    <n v="0"/>
    <n v="0"/>
    <n v="0"/>
    <n v="0"/>
    <n v="0"/>
    <n v="0"/>
    <m/>
    <n v="67.8"/>
  </r>
  <r>
    <x v="1301"/>
    <d v="2025-03-25T00:00:00"/>
    <x v="1"/>
    <s v="North"/>
    <s v="Mobile"/>
    <s v="Organic"/>
    <x v="1"/>
    <n v="1"/>
    <n v="0"/>
    <n v="0"/>
    <n v="0"/>
    <n v="0"/>
    <n v="2"/>
    <n v="0"/>
    <m/>
    <n v="70"/>
  </r>
  <r>
    <x v="1302"/>
    <d v="2025-02-27T00:00:00"/>
    <x v="1"/>
    <s v="North"/>
    <s v="Mobile"/>
    <s v="Social"/>
    <x v="0"/>
    <n v="1"/>
    <n v="1"/>
    <n v="1"/>
    <n v="0"/>
    <n v="0"/>
    <n v="0"/>
    <n v="0"/>
    <m/>
    <n v="51.1"/>
  </r>
  <r>
    <x v="1303"/>
    <d v="2025-01-14T00:00:00"/>
    <x v="1"/>
    <s v="West"/>
    <s v="Mobile"/>
    <s v="Paid Search"/>
    <x v="0"/>
    <n v="1"/>
    <n v="1"/>
    <n v="1"/>
    <n v="0"/>
    <n v="0"/>
    <n v="0"/>
    <n v="0"/>
    <m/>
    <n v="57"/>
  </r>
  <r>
    <x v="1304"/>
    <d v="2025-04-11T00:00:00"/>
    <x v="1"/>
    <s v="East"/>
    <s v="Mobile"/>
    <s v="Social"/>
    <x v="1"/>
    <n v="0"/>
    <n v="0"/>
    <n v="0"/>
    <n v="0"/>
    <n v="0"/>
    <n v="1"/>
    <n v="0"/>
    <m/>
    <n v="47.1"/>
  </r>
  <r>
    <x v="1305"/>
    <d v="2025-03-26T00:00:00"/>
    <x v="1"/>
    <s v="East"/>
    <s v="Desktop"/>
    <s v="Social"/>
    <x v="0"/>
    <n v="0"/>
    <n v="0"/>
    <n v="0"/>
    <n v="0"/>
    <n v="0"/>
    <n v="0"/>
    <n v="0"/>
    <m/>
    <n v="30.7"/>
  </r>
  <r>
    <x v="1306"/>
    <d v="2025-02-12T00:00:00"/>
    <x v="1"/>
    <s v="West"/>
    <s v="Desktop"/>
    <s v="Social"/>
    <x v="1"/>
    <n v="1"/>
    <n v="0"/>
    <n v="0"/>
    <n v="0"/>
    <n v="0"/>
    <n v="0"/>
    <n v="0"/>
    <m/>
    <n v="57.3"/>
  </r>
  <r>
    <x v="1307"/>
    <d v="2025-02-18T00:00:00"/>
    <x v="1"/>
    <s v="West"/>
    <s v="Tablet"/>
    <s v="Paid Search"/>
    <x v="0"/>
    <n v="1"/>
    <n v="0"/>
    <n v="0"/>
    <n v="0"/>
    <n v="0"/>
    <n v="0"/>
    <n v="0"/>
    <m/>
    <n v="70"/>
  </r>
  <r>
    <x v="1308"/>
    <d v="2025-05-25T00:00:00"/>
    <x v="1"/>
    <s v="East"/>
    <s v="Desktop"/>
    <s v="Social"/>
    <x v="1"/>
    <n v="1"/>
    <n v="1"/>
    <n v="1"/>
    <n v="0"/>
    <n v="0"/>
    <n v="0"/>
    <n v="0"/>
    <m/>
    <n v="59.7"/>
  </r>
  <r>
    <x v="1309"/>
    <d v="2025-05-23T00:00:00"/>
    <x v="1"/>
    <s v="East"/>
    <s v="Desktop"/>
    <s v="Paid Search"/>
    <x v="0"/>
    <n v="1"/>
    <n v="0"/>
    <n v="0"/>
    <n v="0"/>
    <n v="0"/>
    <n v="0"/>
    <n v="0"/>
    <m/>
    <n v="68.8"/>
  </r>
  <r>
    <x v="1310"/>
    <d v="2025-01-16T00:00:00"/>
    <x v="1"/>
    <s v="North"/>
    <s v="Desktop"/>
    <s v="Organic"/>
    <x v="1"/>
    <n v="1"/>
    <n v="1"/>
    <n v="1"/>
    <n v="1"/>
    <n v="428.37"/>
    <n v="0"/>
    <n v="0"/>
    <n v="9"/>
    <n v="88.3"/>
  </r>
  <r>
    <x v="1311"/>
    <d v="2025-01-19T00:00:00"/>
    <x v="1"/>
    <s v="West"/>
    <s v="Desktop"/>
    <s v="Email"/>
    <x v="0"/>
    <n v="0"/>
    <n v="0"/>
    <n v="0"/>
    <n v="0"/>
    <n v="0"/>
    <n v="0"/>
    <n v="0"/>
    <m/>
    <n v="83.4"/>
  </r>
  <r>
    <x v="1312"/>
    <d v="2025-05-18T00:00:00"/>
    <x v="1"/>
    <s v="South"/>
    <s v="Mobile"/>
    <s v="Referral"/>
    <x v="1"/>
    <n v="0"/>
    <n v="0"/>
    <n v="0"/>
    <n v="0"/>
    <n v="0"/>
    <n v="1"/>
    <n v="0"/>
    <m/>
    <n v="81.599999999999994"/>
  </r>
  <r>
    <x v="1313"/>
    <d v="2025-01-23T00:00:00"/>
    <x v="1"/>
    <s v="East"/>
    <s v="Tablet"/>
    <s v="Social"/>
    <x v="2"/>
    <n v="1"/>
    <n v="0"/>
    <n v="0"/>
    <n v="0"/>
    <n v="0"/>
    <n v="0"/>
    <n v="0"/>
    <m/>
    <n v="91.6"/>
  </r>
  <r>
    <x v="1314"/>
    <d v="2025-01-08T00:00:00"/>
    <x v="1"/>
    <s v="East"/>
    <s v="Tablet"/>
    <m/>
    <x v="2"/>
    <n v="1"/>
    <n v="1"/>
    <n v="1"/>
    <n v="0"/>
    <n v="0"/>
    <n v="1"/>
    <n v="0"/>
    <m/>
    <n v="61.5"/>
  </r>
  <r>
    <x v="1315"/>
    <d v="2025-02-19T00:00:00"/>
    <x v="1"/>
    <s v="North"/>
    <s v="Mobile"/>
    <s v="Organic"/>
    <x v="2"/>
    <n v="0"/>
    <n v="0"/>
    <n v="0"/>
    <n v="0"/>
    <n v="0"/>
    <n v="0"/>
    <n v="0"/>
    <m/>
    <m/>
  </r>
  <r>
    <x v="1316"/>
    <d v="2025-02-10T00:00:00"/>
    <x v="1"/>
    <s v="South"/>
    <s v="Mobile"/>
    <s v="Organic"/>
    <x v="1"/>
    <n v="1"/>
    <n v="0"/>
    <n v="0"/>
    <n v="0"/>
    <n v="0"/>
    <n v="0"/>
    <n v="0"/>
    <m/>
    <n v="32.6"/>
  </r>
  <r>
    <x v="1317"/>
    <d v="2025-04-13T00:00:00"/>
    <x v="1"/>
    <s v="South"/>
    <s v="Mobile"/>
    <s v="Paid Search"/>
    <x v="1"/>
    <n v="1"/>
    <n v="0"/>
    <n v="0"/>
    <n v="0"/>
    <n v="0"/>
    <n v="0"/>
    <n v="0"/>
    <m/>
    <n v="73.900000000000006"/>
  </r>
  <r>
    <x v="1318"/>
    <d v="2025-05-20T00:00:00"/>
    <x v="1"/>
    <s v="East"/>
    <s v="Mobile"/>
    <s v="Organic"/>
    <x v="1"/>
    <n v="1"/>
    <n v="1"/>
    <n v="1"/>
    <n v="1"/>
    <n v="444.06"/>
    <n v="0"/>
    <n v="0"/>
    <n v="9"/>
    <n v="99.9"/>
  </r>
  <r>
    <x v="1319"/>
    <d v="2025-05-13T00:00:00"/>
    <x v="1"/>
    <s v="South"/>
    <s v="Mobile"/>
    <s v="Paid Search"/>
    <x v="0"/>
    <n v="1"/>
    <n v="1"/>
    <n v="0"/>
    <n v="0"/>
    <n v="0"/>
    <n v="1"/>
    <n v="0"/>
    <m/>
    <n v="62.4"/>
  </r>
  <r>
    <x v="1320"/>
    <d v="2025-05-28T00:00:00"/>
    <x v="1"/>
    <s v="South"/>
    <s v="Desktop"/>
    <s v="Paid Search"/>
    <x v="0"/>
    <n v="1"/>
    <n v="0"/>
    <n v="0"/>
    <n v="0"/>
    <n v="0"/>
    <n v="0"/>
    <n v="0"/>
    <m/>
    <n v="46.1"/>
  </r>
  <r>
    <x v="1321"/>
    <d v="2025-03-19T00:00:00"/>
    <x v="1"/>
    <s v="West"/>
    <s v="Mobile"/>
    <s v="Organic"/>
    <x v="1"/>
    <n v="1"/>
    <n v="1"/>
    <n v="1"/>
    <n v="1"/>
    <n v="2660.21"/>
    <n v="0"/>
    <n v="0"/>
    <n v="3"/>
    <n v="73.900000000000006"/>
  </r>
  <r>
    <x v="1322"/>
    <d v="2025-02-03T00:00:00"/>
    <x v="1"/>
    <s v="North"/>
    <s v="Mobile"/>
    <s v="Email"/>
    <x v="2"/>
    <n v="0"/>
    <n v="0"/>
    <n v="0"/>
    <n v="0"/>
    <n v="0"/>
    <n v="0"/>
    <n v="0"/>
    <m/>
    <n v="90"/>
  </r>
  <r>
    <x v="1323"/>
    <d v="2025-02-26T00:00:00"/>
    <x v="1"/>
    <s v="South"/>
    <s v="Mobile"/>
    <s v="Email"/>
    <x v="0"/>
    <n v="1"/>
    <n v="0"/>
    <n v="0"/>
    <n v="0"/>
    <n v="0"/>
    <n v="1"/>
    <n v="0"/>
    <m/>
    <n v="68.8"/>
  </r>
  <r>
    <x v="1324"/>
    <d v="2025-01-26T00:00:00"/>
    <x v="1"/>
    <s v="West"/>
    <s v="Mobile"/>
    <s v="Paid Search"/>
    <x v="1"/>
    <n v="1"/>
    <n v="0"/>
    <n v="0"/>
    <n v="0"/>
    <n v="0"/>
    <n v="0"/>
    <n v="0"/>
    <m/>
    <n v="66.599999999999994"/>
  </r>
  <r>
    <x v="1325"/>
    <d v="2025-05-13T00:00:00"/>
    <x v="1"/>
    <s v="North"/>
    <s v="Mobile"/>
    <s v="Organic"/>
    <x v="2"/>
    <n v="1"/>
    <n v="0"/>
    <n v="0"/>
    <n v="0"/>
    <n v="0"/>
    <n v="0"/>
    <n v="0"/>
    <m/>
    <n v="49.7"/>
  </r>
  <r>
    <x v="1326"/>
    <d v="2025-02-02T00:00:00"/>
    <x v="1"/>
    <s v="South"/>
    <s v="Mobile"/>
    <s v="Paid Search"/>
    <x v="0"/>
    <n v="0"/>
    <n v="0"/>
    <n v="0"/>
    <n v="0"/>
    <n v="0"/>
    <n v="0"/>
    <n v="0"/>
    <m/>
    <n v="67.900000000000006"/>
  </r>
  <r>
    <x v="1327"/>
    <d v="2025-04-30T00:00:00"/>
    <x v="1"/>
    <s v="West"/>
    <s v="Mobile"/>
    <m/>
    <x v="0"/>
    <n v="0"/>
    <n v="0"/>
    <n v="0"/>
    <n v="0"/>
    <n v="0"/>
    <n v="0"/>
    <n v="0"/>
    <m/>
    <n v="66.900000000000006"/>
  </r>
  <r>
    <x v="1328"/>
    <d v="2025-03-29T00:00:00"/>
    <x v="1"/>
    <s v="East"/>
    <s v="Mobile"/>
    <s v="Organic"/>
    <x v="1"/>
    <n v="0"/>
    <n v="0"/>
    <n v="0"/>
    <n v="0"/>
    <n v="0"/>
    <n v="0"/>
    <n v="0"/>
    <m/>
    <n v="46.1"/>
  </r>
  <r>
    <x v="1329"/>
    <d v="2025-04-09T00:00:00"/>
    <x v="1"/>
    <s v="West"/>
    <s v="Desktop"/>
    <s v="Referral"/>
    <x v="2"/>
    <n v="1"/>
    <n v="0"/>
    <n v="0"/>
    <n v="0"/>
    <n v="0"/>
    <n v="0"/>
    <n v="0"/>
    <m/>
    <n v="85.6"/>
  </r>
  <r>
    <x v="1330"/>
    <d v="2025-01-22T00:00:00"/>
    <x v="1"/>
    <s v="South"/>
    <s v="Tablet"/>
    <s v="Organic"/>
    <x v="1"/>
    <n v="0"/>
    <n v="0"/>
    <n v="0"/>
    <n v="0"/>
    <n v="0"/>
    <n v="0"/>
    <n v="0"/>
    <m/>
    <n v="39.6"/>
  </r>
  <r>
    <x v="1331"/>
    <d v="2025-01-27T00:00:00"/>
    <x v="1"/>
    <s v="South"/>
    <s v="Mobile"/>
    <s v="Organic"/>
    <x v="0"/>
    <n v="1"/>
    <n v="0"/>
    <n v="0"/>
    <n v="0"/>
    <n v="0"/>
    <n v="0"/>
    <n v="0"/>
    <m/>
    <n v="52.5"/>
  </r>
  <r>
    <x v="1332"/>
    <d v="2025-01-22T00:00:00"/>
    <x v="1"/>
    <s v="East"/>
    <s v="Mobile"/>
    <s v="Social"/>
    <x v="2"/>
    <n v="1"/>
    <n v="0"/>
    <n v="0"/>
    <n v="0"/>
    <n v="0"/>
    <n v="0"/>
    <n v="0"/>
    <m/>
    <n v="73.5"/>
  </r>
  <r>
    <x v="1333"/>
    <d v="2025-01-06T00:00:00"/>
    <x v="1"/>
    <s v="West"/>
    <s v="Desktop"/>
    <s v="Paid Search"/>
    <x v="1"/>
    <n v="0"/>
    <n v="0"/>
    <n v="0"/>
    <n v="0"/>
    <n v="0"/>
    <n v="0"/>
    <n v="0"/>
    <m/>
    <n v="62.5"/>
  </r>
  <r>
    <x v="1334"/>
    <d v="2025-04-16T00:00:00"/>
    <x v="1"/>
    <s v="South"/>
    <m/>
    <s v="Organic"/>
    <x v="1"/>
    <n v="1"/>
    <n v="0"/>
    <n v="0"/>
    <n v="0"/>
    <n v="0"/>
    <n v="0"/>
    <n v="0"/>
    <m/>
    <n v="76.900000000000006"/>
  </r>
  <r>
    <x v="1335"/>
    <d v="2025-04-14T00:00:00"/>
    <x v="1"/>
    <s v="South"/>
    <s v="Mobile"/>
    <s v="Organic"/>
    <x v="1"/>
    <n v="1"/>
    <n v="0"/>
    <n v="0"/>
    <n v="0"/>
    <n v="0"/>
    <n v="0"/>
    <n v="0"/>
    <m/>
    <n v="51.4"/>
  </r>
  <r>
    <x v="1336"/>
    <d v="2025-02-22T00:00:00"/>
    <x v="1"/>
    <s v="West"/>
    <s v="Mobile"/>
    <s v="Paid Search"/>
    <x v="0"/>
    <n v="1"/>
    <n v="0"/>
    <n v="0"/>
    <n v="0"/>
    <n v="0"/>
    <n v="0"/>
    <n v="0"/>
    <m/>
    <n v="59.3"/>
  </r>
  <r>
    <x v="1337"/>
    <d v="2025-03-09T00:00:00"/>
    <x v="1"/>
    <s v="North"/>
    <s v="Mobile"/>
    <s v="Organic"/>
    <x v="0"/>
    <n v="0"/>
    <n v="0"/>
    <n v="0"/>
    <n v="0"/>
    <n v="0"/>
    <n v="0"/>
    <n v="0"/>
    <m/>
    <n v="74.900000000000006"/>
  </r>
  <r>
    <x v="1338"/>
    <d v="2025-04-20T00:00:00"/>
    <x v="1"/>
    <s v="West"/>
    <s v="Desktop"/>
    <s v="Organic"/>
    <x v="1"/>
    <n v="1"/>
    <n v="0"/>
    <n v="0"/>
    <n v="0"/>
    <n v="0"/>
    <n v="0"/>
    <n v="0"/>
    <m/>
    <n v="67"/>
  </r>
  <r>
    <x v="1339"/>
    <d v="2025-03-10T00:00:00"/>
    <x v="1"/>
    <s v="South"/>
    <s v="Mobile"/>
    <s v="Email"/>
    <x v="1"/>
    <n v="0"/>
    <n v="0"/>
    <n v="0"/>
    <n v="0"/>
    <n v="0"/>
    <n v="0"/>
    <n v="0"/>
    <m/>
    <n v="63.6"/>
  </r>
  <r>
    <x v="1340"/>
    <d v="2025-02-21T00:00:00"/>
    <x v="1"/>
    <s v="South"/>
    <s v="Mobile"/>
    <s v="Email"/>
    <x v="1"/>
    <n v="1"/>
    <n v="1"/>
    <n v="0"/>
    <n v="0"/>
    <n v="0"/>
    <n v="1"/>
    <n v="0"/>
    <m/>
    <n v="58.4"/>
  </r>
  <r>
    <x v="1341"/>
    <d v="2025-01-06T00:00:00"/>
    <x v="1"/>
    <s v="North"/>
    <s v="Desktop"/>
    <s v="Social"/>
    <x v="1"/>
    <n v="1"/>
    <n v="0"/>
    <n v="0"/>
    <n v="0"/>
    <n v="0"/>
    <n v="0"/>
    <n v="0"/>
    <m/>
    <n v="36.799999999999997"/>
  </r>
  <r>
    <x v="1342"/>
    <d v="2025-04-17T00:00:00"/>
    <x v="1"/>
    <s v="South"/>
    <s v="Mobile"/>
    <s v="Organic"/>
    <x v="2"/>
    <n v="1"/>
    <n v="0"/>
    <n v="0"/>
    <n v="0"/>
    <n v="0"/>
    <n v="0"/>
    <n v="0"/>
    <m/>
    <n v="71.599999999999994"/>
  </r>
  <r>
    <x v="1343"/>
    <d v="2025-05-23T00:00:00"/>
    <x v="1"/>
    <s v="South"/>
    <s v="Mobile"/>
    <s v="Email"/>
    <x v="0"/>
    <n v="1"/>
    <n v="1"/>
    <n v="0"/>
    <n v="0"/>
    <n v="0"/>
    <n v="1"/>
    <n v="0"/>
    <m/>
    <n v="79.7"/>
  </r>
  <r>
    <x v="1344"/>
    <d v="2025-03-14T00:00:00"/>
    <x v="1"/>
    <s v="West"/>
    <s v="Desktop"/>
    <s v="Organic"/>
    <x v="0"/>
    <n v="1"/>
    <n v="0"/>
    <n v="0"/>
    <n v="0"/>
    <n v="0"/>
    <n v="1"/>
    <n v="0"/>
    <m/>
    <n v="56.5"/>
  </r>
  <r>
    <x v="1345"/>
    <d v="2025-04-21T00:00:00"/>
    <x v="1"/>
    <s v="North"/>
    <s v="Mobile"/>
    <s v="Social"/>
    <x v="2"/>
    <n v="1"/>
    <n v="0"/>
    <n v="0"/>
    <n v="0"/>
    <n v="0"/>
    <n v="0"/>
    <n v="0"/>
    <m/>
    <n v="44.7"/>
  </r>
  <r>
    <x v="1346"/>
    <d v="2025-01-03T00:00:00"/>
    <x v="1"/>
    <s v="South"/>
    <s v="Mobile"/>
    <s v="Social"/>
    <x v="1"/>
    <n v="1"/>
    <n v="1"/>
    <n v="1"/>
    <n v="0"/>
    <n v="0"/>
    <n v="1"/>
    <n v="0"/>
    <m/>
    <n v="66"/>
  </r>
  <r>
    <x v="1347"/>
    <d v="2025-05-09T00:00:00"/>
    <x v="1"/>
    <s v="North"/>
    <s v="Desktop"/>
    <s v="Organic"/>
    <x v="0"/>
    <n v="1"/>
    <n v="0"/>
    <n v="0"/>
    <n v="0"/>
    <n v="0"/>
    <n v="0"/>
    <n v="0"/>
    <m/>
    <n v="73"/>
  </r>
  <r>
    <x v="1348"/>
    <d v="2025-05-22T00:00:00"/>
    <x v="1"/>
    <s v="South"/>
    <s v="Mobile"/>
    <s v="Organic"/>
    <x v="0"/>
    <n v="1"/>
    <n v="1"/>
    <n v="1"/>
    <n v="0"/>
    <n v="0"/>
    <n v="1"/>
    <n v="0"/>
    <m/>
    <n v="72.5"/>
  </r>
  <r>
    <x v="1349"/>
    <d v="2025-05-07T00:00:00"/>
    <x v="1"/>
    <s v="South"/>
    <s v="Desktop"/>
    <s v="Paid Search"/>
    <x v="1"/>
    <n v="1"/>
    <n v="1"/>
    <n v="1"/>
    <n v="1"/>
    <n v="323.60000000000002"/>
    <n v="0"/>
    <n v="0"/>
    <n v="6"/>
    <n v="100"/>
  </r>
  <r>
    <x v="1350"/>
    <d v="2025-02-08T00:00:00"/>
    <x v="1"/>
    <s v="East"/>
    <s v="Mobile"/>
    <s v="Social"/>
    <x v="1"/>
    <n v="0"/>
    <n v="0"/>
    <n v="0"/>
    <n v="0"/>
    <n v="0"/>
    <n v="1"/>
    <n v="0"/>
    <m/>
    <n v="90.5"/>
  </r>
  <r>
    <x v="1351"/>
    <d v="2025-04-03T00:00:00"/>
    <x v="1"/>
    <s v="North"/>
    <s v="Tablet"/>
    <s v="Social"/>
    <x v="0"/>
    <n v="1"/>
    <n v="0"/>
    <n v="0"/>
    <n v="0"/>
    <n v="0"/>
    <n v="0"/>
    <n v="0"/>
    <m/>
    <n v="70.2"/>
  </r>
  <r>
    <x v="1352"/>
    <d v="2025-04-17T00:00:00"/>
    <x v="1"/>
    <s v="East"/>
    <s v="Desktop"/>
    <s v="Paid Search"/>
    <x v="1"/>
    <n v="1"/>
    <n v="0"/>
    <n v="0"/>
    <n v="0"/>
    <n v="0"/>
    <n v="1"/>
    <n v="0"/>
    <m/>
    <n v="67.099999999999994"/>
  </r>
  <r>
    <x v="1353"/>
    <d v="2025-05-04T00:00:00"/>
    <x v="1"/>
    <s v="East"/>
    <s v="Mobile"/>
    <s v="Organic"/>
    <x v="1"/>
    <n v="0"/>
    <n v="0"/>
    <n v="0"/>
    <n v="0"/>
    <n v="0"/>
    <n v="0"/>
    <n v="0"/>
    <m/>
    <n v="54.5"/>
  </r>
  <r>
    <x v="1354"/>
    <d v="2025-05-11T00:00:00"/>
    <x v="1"/>
    <s v="West"/>
    <s v="Desktop"/>
    <s v="Organic"/>
    <x v="1"/>
    <n v="1"/>
    <n v="0"/>
    <n v="0"/>
    <n v="0"/>
    <n v="0"/>
    <n v="0"/>
    <n v="0"/>
    <m/>
    <n v="63.4"/>
  </r>
  <r>
    <x v="1355"/>
    <d v="2025-03-01T00:00:00"/>
    <x v="1"/>
    <s v="North"/>
    <s v="Desktop"/>
    <m/>
    <x v="1"/>
    <n v="1"/>
    <n v="1"/>
    <n v="1"/>
    <n v="0"/>
    <n v="0"/>
    <n v="0"/>
    <n v="0"/>
    <m/>
    <n v="84.3"/>
  </r>
  <r>
    <x v="1356"/>
    <d v="2025-02-20T00:00:00"/>
    <x v="1"/>
    <s v="West"/>
    <s v="Desktop"/>
    <s v="Organic"/>
    <x v="1"/>
    <n v="1"/>
    <n v="0"/>
    <n v="0"/>
    <n v="0"/>
    <n v="0"/>
    <n v="1"/>
    <n v="0"/>
    <m/>
    <n v="55"/>
  </r>
  <r>
    <x v="1357"/>
    <d v="2025-05-09T00:00:00"/>
    <x v="1"/>
    <s v="West"/>
    <s v="Mobile"/>
    <s v="Social"/>
    <x v="1"/>
    <n v="1"/>
    <n v="0"/>
    <n v="0"/>
    <n v="0"/>
    <n v="0"/>
    <n v="0"/>
    <n v="0"/>
    <m/>
    <n v="63.6"/>
  </r>
  <r>
    <x v="1358"/>
    <d v="2025-04-30T00:00:00"/>
    <x v="1"/>
    <s v="West"/>
    <s v="Mobile"/>
    <s v="Organic"/>
    <x v="1"/>
    <n v="1"/>
    <n v="0"/>
    <n v="0"/>
    <n v="0"/>
    <n v="0"/>
    <n v="0"/>
    <n v="0"/>
    <m/>
    <n v="55.5"/>
  </r>
  <r>
    <x v="1359"/>
    <d v="2025-01-07T00:00:00"/>
    <x v="1"/>
    <s v="South"/>
    <s v="Mobile"/>
    <s v="Social"/>
    <x v="0"/>
    <n v="0"/>
    <n v="0"/>
    <n v="0"/>
    <n v="0"/>
    <n v="0"/>
    <n v="0"/>
    <n v="0"/>
    <m/>
    <n v="50.5"/>
  </r>
  <r>
    <x v="1360"/>
    <d v="2025-04-30T00:00:00"/>
    <x v="1"/>
    <s v="North"/>
    <s v="Mobile"/>
    <s v="Social"/>
    <x v="0"/>
    <n v="1"/>
    <n v="0"/>
    <n v="0"/>
    <n v="0"/>
    <n v="0"/>
    <n v="0"/>
    <n v="0"/>
    <m/>
    <n v="45.3"/>
  </r>
  <r>
    <x v="1361"/>
    <d v="2025-05-23T00:00:00"/>
    <x v="1"/>
    <s v="East"/>
    <s v="Mobile"/>
    <s v="Organic"/>
    <x v="0"/>
    <n v="1"/>
    <n v="0"/>
    <n v="0"/>
    <n v="0"/>
    <n v="0"/>
    <n v="0"/>
    <n v="0"/>
    <m/>
    <n v="33.6"/>
  </r>
  <r>
    <x v="1362"/>
    <d v="2025-03-12T00:00:00"/>
    <x v="1"/>
    <s v="South"/>
    <s v="Mobile"/>
    <s v="Paid Search"/>
    <x v="2"/>
    <n v="1"/>
    <n v="1"/>
    <n v="1"/>
    <n v="0"/>
    <n v="0"/>
    <n v="0"/>
    <n v="0"/>
    <m/>
    <n v="88.2"/>
  </r>
  <r>
    <x v="1363"/>
    <d v="2025-02-17T00:00:00"/>
    <x v="1"/>
    <s v="North"/>
    <s v="Mobile"/>
    <s v="Organic"/>
    <x v="2"/>
    <n v="1"/>
    <n v="0"/>
    <n v="0"/>
    <n v="0"/>
    <n v="0"/>
    <n v="0"/>
    <n v="0"/>
    <m/>
    <n v="51.8"/>
  </r>
  <r>
    <x v="1364"/>
    <d v="2025-05-27T00:00:00"/>
    <x v="1"/>
    <s v="North"/>
    <s v="Desktop"/>
    <s v="Organic"/>
    <x v="0"/>
    <n v="0"/>
    <n v="0"/>
    <n v="0"/>
    <n v="0"/>
    <n v="0"/>
    <n v="0"/>
    <n v="0"/>
    <m/>
    <n v="87.9"/>
  </r>
  <r>
    <x v="1365"/>
    <d v="2025-05-10T00:00:00"/>
    <x v="1"/>
    <s v="South"/>
    <s v="Mobile"/>
    <s v="Social"/>
    <x v="2"/>
    <n v="1"/>
    <n v="0"/>
    <n v="0"/>
    <n v="0"/>
    <n v="0"/>
    <n v="2"/>
    <n v="0"/>
    <m/>
    <n v="70.5"/>
  </r>
  <r>
    <x v="1366"/>
    <d v="2025-01-20T00:00:00"/>
    <x v="1"/>
    <s v="North"/>
    <s v="Mobile"/>
    <s v="Organic"/>
    <x v="0"/>
    <n v="1"/>
    <n v="1"/>
    <n v="0"/>
    <n v="0"/>
    <n v="0"/>
    <n v="2"/>
    <n v="0"/>
    <m/>
    <n v="58.5"/>
  </r>
  <r>
    <x v="1367"/>
    <d v="2025-01-19T00:00:00"/>
    <x v="1"/>
    <s v="East"/>
    <s v="Mobile"/>
    <s v="Referral"/>
    <x v="1"/>
    <n v="1"/>
    <n v="0"/>
    <n v="0"/>
    <n v="0"/>
    <n v="0"/>
    <n v="0"/>
    <n v="0"/>
    <m/>
    <n v="65.599999999999994"/>
  </r>
  <r>
    <x v="1368"/>
    <d v="2025-03-07T00:00:00"/>
    <x v="1"/>
    <s v="West"/>
    <s v="Desktop"/>
    <s v="Paid Search"/>
    <x v="0"/>
    <n v="1"/>
    <n v="1"/>
    <n v="0"/>
    <n v="0"/>
    <n v="0"/>
    <n v="0"/>
    <n v="0"/>
    <m/>
    <n v="62.7"/>
  </r>
  <r>
    <x v="1369"/>
    <d v="2025-02-02T00:00:00"/>
    <x v="1"/>
    <s v="East"/>
    <s v="Mobile"/>
    <s v="Organic"/>
    <x v="1"/>
    <n v="0"/>
    <n v="0"/>
    <n v="0"/>
    <n v="0"/>
    <n v="0"/>
    <n v="1"/>
    <n v="0"/>
    <m/>
    <n v="50.9"/>
  </r>
  <r>
    <x v="1370"/>
    <d v="2025-03-07T00:00:00"/>
    <x v="1"/>
    <s v="North"/>
    <s v="Mobile"/>
    <s v="Organic"/>
    <x v="1"/>
    <n v="0"/>
    <n v="0"/>
    <n v="0"/>
    <n v="0"/>
    <n v="0"/>
    <n v="1"/>
    <n v="0"/>
    <m/>
    <n v="60.6"/>
  </r>
  <r>
    <x v="1371"/>
    <d v="2025-03-30T00:00:00"/>
    <x v="1"/>
    <s v="East"/>
    <s v="Desktop"/>
    <s v="Organic"/>
    <x v="1"/>
    <n v="1"/>
    <n v="1"/>
    <n v="1"/>
    <n v="0"/>
    <n v="0"/>
    <n v="0"/>
    <n v="0"/>
    <m/>
    <n v="76.599999999999994"/>
  </r>
  <r>
    <x v="1372"/>
    <d v="2025-05-05T00:00:00"/>
    <x v="1"/>
    <s v="East"/>
    <s v="Desktop"/>
    <s v="Paid Search"/>
    <x v="1"/>
    <n v="1"/>
    <n v="1"/>
    <n v="1"/>
    <n v="0"/>
    <n v="0"/>
    <n v="0"/>
    <n v="0"/>
    <m/>
    <n v="54.4"/>
  </r>
  <r>
    <x v="1373"/>
    <d v="2025-04-11T00:00:00"/>
    <x v="1"/>
    <s v="South"/>
    <s v="Mobile"/>
    <s v="Social"/>
    <x v="1"/>
    <n v="1"/>
    <n v="0"/>
    <n v="0"/>
    <n v="0"/>
    <n v="0"/>
    <n v="0"/>
    <n v="0"/>
    <m/>
    <n v="31.2"/>
  </r>
  <r>
    <x v="1374"/>
    <d v="2025-03-25T00:00:00"/>
    <x v="1"/>
    <s v="West"/>
    <s v="Desktop"/>
    <s v="Email"/>
    <x v="2"/>
    <n v="1"/>
    <n v="0"/>
    <n v="0"/>
    <n v="0"/>
    <n v="0"/>
    <n v="0"/>
    <n v="0"/>
    <m/>
    <n v="72.400000000000006"/>
  </r>
  <r>
    <x v="1375"/>
    <d v="2025-03-24T00:00:00"/>
    <x v="1"/>
    <s v="North"/>
    <s v="Mobile"/>
    <s v="Organic"/>
    <x v="2"/>
    <n v="1"/>
    <n v="0"/>
    <n v="0"/>
    <n v="0"/>
    <n v="0"/>
    <n v="0"/>
    <n v="0"/>
    <m/>
    <n v="74.5"/>
  </r>
  <r>
    <x v="1376"/>
    <d v="2025-04-27T00:00:00"/>
    <x v="1"/>
    <s v="East"/>
    <s v="Mobile"/>
    <s v="Organic"/>
    <x v="0"/>
    <n v="0"/>
    <n v="0"/>
    <n v="0"/>
    <n v="0"/>
    <n v="0"/>
    <n v="0"/>
    <n v="0"/>
    <m/>
    <n v="52.6"/>
  </r>
  <r>
    <x v="1377"/>
    <d v="2025-01-25T00:00:00"/>
    <x v="1"/>
    <s v="North"/>
    <s v="Desktop"/>
    <s v="Paid Search"/>
    <x v="1"/>
    <n v="1"/>
    <n v="0"/>
    <n v="0"/>
    <n v="0"/>
    <n v="0"/>
    <n v="0"/>
    <n v="0"/>
    <m/>
    <n v="75.400000000000006"/>
  </r>
  <r>
    <x v="1378"/>
    <d v="2025-02-17T00:00:00"/>
    <x v="1"/>
    <s v="North"/>
    <s v="Tablet"/>
    <s v="Social"/>
    <x v="0"/>
    <n v="1"/>
    <n v="1"/>
    <n v="1"/>
    <n v="1"/>
    <n v="751.33"/>
    <n v="0"/>
    <n v="0"/>
    <n v="9"/>
    <n v="34"/>
  </r>
  <r>
    <x v="1379"/>
    <d v="2025-04-13T00:00:00"/>
    <x v="1"/>
    <s v="South"/>
    <s v="Desktop"/>
    <s v="Organic"/>
    <x v="1"/>
    <n v="1"/>
    <n v="0"/>
    <n v="0"/>
    <n v="0"/>
    <n v="0"/>
    <n v="0"/>
    <n v="0"/>
    <m/>
    <n v="67.099999999999994"/>
  </r>
  <r>
    <x v="1380"/>
    <d v="2025-05-03T00:00:00"/>
    <x v="1"/>
    <s v="West"/>
    <s v="Desktop"/>
    <s v="Paid Search"/>
    <x v="2"/>
    <n v="1"/>
    <n v="0"/>
    <n v="0"/>
    <n v="0"/>
    <n v="0"/>
    <n v="0"/>
    <n v="0"/>
    <m/>
    <n v="37.299999999999997"/>
  </r>
  <r>
    <x v="1381"/>
    <d v="2025-04-29T00:00:00"/>
    <x v="1"/>
    <s v="West"/>
    <s v="Mobile"/>
    <s v="Email"/>
    <x v="1"/>
    <n v="1"/>
    <n v="0"/>
    <n v="0"/>
    <n v="0"/>
    <n v="0"/>
    <n v="0"/>
    <n v="0"/>
    <m/>
    <n v="54.7"/>
  </r>
  <r>
    <x v="1382"/>
    <d v="2025-05-03T00:00:00"/>
    <x v="1"/>
    <s v="East"/>
    <s v="Desktop"/>
    <s v="Paid Search"/>
    <x v="1"/>
    <n v="1"/>
    <n v="0"/>
    <n v="0"/>
    <n v="0"/>
    <n v="0"/>
    <n v="0"/>
    <n v="0"/>
    <m/>
    <n v="51.8"/>
  </r>
  <r>
    <x v="1383"/>
    <d v="2025-04-28T00:00:00"/>
    <x v="1"/>
    <s v="West"/>
    <s v="Mobile"/>
    <s v="Paid Search"/>
    <x v="1"/>
    <n v="0"/>
    <n v="0"/>
    <n v="0"/>
    <n v="0"/>
    <n v="0"/>
    <n v="0"/>
    <n v="0"/>
    <m/>
    <n v="49.2"/>
  </r>
  <r>
    <x v="1384"/>
    <d v="2025-01-21T00:00:00"/>
    <x v="1"/>
    <s v="West"/>
    <s v="Mobile"/>
    <s v="Organic"/>
    <x v="1"/>
    <n v="1"/>
    <n v="0"/>
    <n v="0"/>
    <n v="0"/>
    <n v="0"/>
    <n v="2"/>
    <n v="0"/>
    <m/>
    <n v="58.8"/>
  </r>
  <r>
    <x v="1385"/>
    <d v="2025-01-21T00:00:00"/>
    <x v="1"/>
    <s v="North"/>
    <s v="Tablet"/>
    <s v="Paid Search"/>
    <x v="0"/>
    <n v="0"/>
    <n v="0"/>
    <n v="0"/>
    <n v="0"/>
    <n v="0"/>
    <n v="1"/>
    <n v="0"/>
    <m/>
    <n v="59.1"/>
  </r>
  <r>
    <x v="1386"/>
    <d v="2025-05-21T00:00:00"/>
    <x v="1"/>
    <s v="West"/>
    <s v="Desktop"/>
    <s v="Paid Search"/>
    <x v="1"/>
    <n v="1"/>
    <n v="0"/>
    <n v="0"/>
    <n v="0"/>
    <n v="0"/>
    <n v="2"/>
    <n v="0"/>
    <m/>
    <n v="49.6"/>
  </r>
  <r>
    <x v="1387"/>
    <d v="2025-01-05T00:00:00"/>
    <x v="1"/>
    <s v="North"/>
    <s v="Mobile"/>
    <s v="Referral"/>
    <x v="1"/>
    <n v="0"/>
    <n v="0"/>
    <n v="0"/>
    <n v="0"/>
    <n v="0"/>
    <n v="0"/>
    <n v="0"/>
    <m/>
    <n v="58.2"/>
  </r>
  <r>
    <x v="1388"/>
    <d v="2025-03-06T00:00:00"/>
    <x v="1"/>
    <s v="South"/>
    <s v="Desktop"/>
    <s v="Organic"/>
    <x v="1"/>
    <n v="1"/>
    <n v="0"/>
    <n v="0"/>
    <n v="0"/>
    <n v="0"/>
    <n v="0"/>
    <n v="0"/>
    <m/>
    <n v="66.8"/>
  </r>
  <r>
    <x v="1389"/>
    <d v="2025-04-18T00:00:00"/>
    <x v="1"/>
    <s v="North"/>
    <s v="Mobile"/>
    <s v="Paid Search"/>
    <x v="1"/>
    <n v="1"/>
    <n v="0"/>
    <n v="0"/>
    <n v="0"/>
    <n v="0"/>
    <n v="3"/>
    <n v="0"/>
    <m/>
    <n v="58.3"/>
  </r>
  <r>
    <x v="1390"/>
    <d v="2025-04-15T00:00:00"/>
    <x v="1"/>
    <s v="West"/>
    <s v="Mobile"/>
    <s v="Organic"/>
    <x v="0"/>
    <n v="1"/>
    <n v="1"/>
    <n v="1"/>
    <n v="0"/>
    <n v="0"/>
    <n v="0"/>
    <n v="0"/>
    <m/>
    <n v="38.5"/>
  </r>
  <r>
    <x v="1391"/>
    <d v="2025-02-10T00:00:00"/>
    <x v="1"/>
    <s v="East"/>
    <s v="Mobile"/>
    <s v="Paid Search"/>
    <x v="1"/>
    <n v="1"/>
    <n v="0"/>
    <n v="0"/>
    <n v="0"/>
    <n v="0"/>
    <n v="0"/>
    <n v="0"/>
    <m/>
    <n v="76.900000000000006"/>
  </r>
  <r>
    <x v="1392"/>
    <d v="2025-05-08T00:00:00"/>
    <x v="1"/>
    <s v="East"/>
    <s v="Mobile"/>
    <s v="Organic"/>
    <x v="1"/>
    <n v="1"/>
    <n v="0"/>
    <n v="0"/>
    <n v="0"/>
    <n v="0"/>
    <n v="0"/>
    <n v="0"/>
    <m/>
    <n v="54"/>
  </r>
  <r>
    <x v="1393"/>
    <d v="2025-05-28T00:00:00"/>
    <x v="1"/>
    <s v="East"/>
    <s v="Tablet"/>
    <s v="Organic"/>
    <x v="1"/>
    <n v="1"/>
    <n v="0"/>
    <n v="0"/>
    <n v="0"/>
    <n v="0"/>
    <n v="0"/>
    <n v="0"/>
    <m/>
    <n v="70.599999999999994"/>
  </r>
  <r>
    <x v="1394"/>
    <d v="2025-04-25T00:00:00"/>
    <x v="1"/>
    <s v="North"/>
    <s v="Tablet"/>
    <s v="Referral"/>
    <x v="2"/>
    <n v="1"/>
    <n v="1"/>
    <n v="1"/>
    <n v="0"/>
    <n v="0"/>
    <n v="1"/>
    <n v="0"/>
    <m/>
    <n v="69.400000000000006"/>
  </r>
  <r>
    <x v="1395"/>
    <d v="2025-02-11T00:00:00"/>
    <x v="1"/>
    <s v="South"/>
    <s v="Mobile"/>
    <m/>
    <x v="2"/>
    <n v="1"/>
    <n v="1"/>
    <n v="1"/>
    <n v="1"/>
    <n v="1009.9"/>
    <n v="0"/>
    <n v="0"/>
    <n v="6"/>
    <n v="89.7"/>
  </r>
  <r>
    <x v="1396"/>
    <d v="2025-04-14T00:00:00"/>
    <x v="1"/>
    <s v="West"/>
    <s v="Mobile"/>
    <s v="Organic"/>
    <x v="1"/>
    <n v="1"/>
    <n v="0"/>
    <n v="0"/>
    <n v="0"/>
    <n v="0"/>
    <n v="0"/>
    <n v="0"/>
    <m/>
    <n v="62.4"/>
  </r>
  <r>
    <x v="1397"/>
    <d v="2025-02-04T00:00:00"/>
    <x v="1"/>
    <s v="West"/>
    <s v="Tablet"/>
    <s v="Organic"/>
    <x v="2"/>
    <n v="0"/>
    <n v="0"/>
    <n v="0"/>
    <n v="0"/>
    <n v="0"/>
    <n v="0"/>
    <n v="0"/>
    <m/>
    <n v="67.3"/>
  </r>
  <r>
    <x v="1398"/>
    <d v="2025-03-22T00:00:00"/>
    <x v="1"/>
    <s v="East"/>
    <s v="Mobile"/>
    <s v="Referral"/>
    <x v="1"/>
    <n v="1"/>
    <n v="0"/>
    <n v="0"/>
    <n v="0"/>
    <n v="0"/>
    <n v="0"/>
    <n v="0"/>
    <m/>
    <n v="54.9"/>
  </r>
  <r>
    <x v="1399"/>
    <d v="2025-04-18T00:00:00"/>
    <x v="1"/>
    <s v="East"/>
    <s v="Desktop"/>
    <s v="Social"/>
    <x v="1"/>
    <n v="0"/>
    <n v="0"/>
    <n v="0"/>
    <n v="0"/>
    <n v="0"/>
    <n v="0"/>
    <n v="0"/>
    <m/>
    <n v="55.7"/>
  </r>
  <r>
    <x v="916"/>
    <d v="2025-02-23T00:00:00"/>
    <x v="1"/>
    <s v="West"/>
    <s v="Desktop"/>
    <s v="Social"/>
    <x v="0"/>
    <n v="1"/>
    <n v="1"/>
    <n v="1"/>
    <n v="0"/>
    <n v="0"/>
    <n v="0"/>
    <n v="0"/>
    <m/>
    <n v="70.599999999999994"/>
  </r>
  <r>
    <x v="432"/>
    <d v="2025-02-03T00:00:00"/>
    <x v="0"/>
    <s v="North"/>
    <s v="Tablet"/>
    <s v="Email"/>
    <x v="0"/>
    <n v="1"/>
    <n v="0"/>
    <n v="0"/>
    <n v="0"/>
    <n v="0"/>
    <n v="0"/>
    <n v="0"/>
    <m/>
    <n v="60.9"/>
  </r>
  <r>
    <x v="1361"/>
    <d v="2025-05-23T00:00:00"/>
    <x v="1"/>
    <s v="East"/>
    <s v="Mobile"/>
    <s v="Organic"/>
    <x v="0"/>
    <n v="1"/>
    <n v="0"/>
    <n v="0"/>
    <n v="0"/>
    <n v="0"/>
    <n v="0"/>
    <n v="0"/>
    <m/>
    <n v="33.6"/>
  </r>
  <r>
    <x v="95"/>
    <d v="2025-02-05T00:00:00"/>
    <x v="0"/>
    <s v="East"/>
    <s v="Mobile"/>
    <s v="Social"/>
    <x v="1"/>
    <n v="0"/>
    <n v="0"/>
    <n v="0"/>
    <n v="0"/>
    <n v="0"/>
    <n v="0"/>
    <n v="0"/>
    <m/>
    <n v="68"/>
  </r>
  <r>
    <x v="1209"/>
    <d v="2025-02-24T00:00:00"/>
    <x v="1"/>
    <s v="West"/>
    <s v="Mobile"/>
    <s v="Organic"/>
    <x v="0"/>
    <n v="1"/>
    <n v="0"/>
    <n v="0"/>
    <n v="0"/>
    <n v="0"/>
    <n v="0"/>
    <n v="0"/>
    <m/>
    <n v="62"/>
  </r>
  <r>
    <x v="1231"/>
    <d v="2025-03-30T00:00:00"/>
    <x v="1"/>
    <s v="East"/>
    <s v="Mobile"/>
    <s v="Organic"/>
    <x v="1"/>
    <n v="1"/>
    <n v="1"/>
    <n v="1"/>
    <n v="0"/>
    <n v="0"/>
    <n v="1"/>
    <n v="0"/>
    <m/>
    <n v="72.5"/>
  </r>
  <r>
    <x v="1058"/>
    <d v="2025-05-16T00:00:00"/>
    <x v="1"/>
    <s v="South"/>
    <s v="Mobile"/>
    <s v="Organic"/>
    <x v="1"/>
    <n v="1"/>
    <n v="0"/>
    <n v="0"/>
    <n v="0"/>
    <n v="0"/>
    <n v="0"/>
    <n v="0"/>
    <m/>
    <n v="70.3"/>
  </r>
  <r>
    <x v="540"/>
    <d v="2025-05-22T00:00:00"/>
    <x v="0"/>
    <s v="North"/>
    <s v="Mobile"/>
    <s v="Paid Search"/>
    <x v="0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6D5D0-18FD-4347-A3B3-C3158E2ADA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6">
    <pivotField dataField="1"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C9B12-AAD2-4B1D-9C30-4CD2F7FFADB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5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B6EA-BC67-4173-81B7-CFD9FF351011}">
  <dimension ref="A1:T1409"/>
  <sheetViews>
    <sheetView topLeftCell="K1" workbookViewId="0">
      <selection activeCell="T4" sqref="T4"/>
    </sheetView>
  </sheetViews>
  <sheetFormatPr defaultRowHeight="14"/>
  <cols>
    <col min="1" max="16" width="16" customWidth="1"/>
    <col min="18" max="18" width="17.5" bestFit="1" customWidth="1"/>
    <col min="19" max="19" width="19.75" customWidth="1"/>
  </cols>
  <sheetData>
    <row r="1" spans="1:20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20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 s="9" t="s">
        <v>1467</v>
      </c>
      <c r="S3" s="9"/>
      <c r="T3" s="9" cm="1">
        <f t="array" ref="T3">COUNTA(A2:A1409)-SUMPRODUCT(1/COUNTIF(A2:A1409,A2:A1409))</f>
        <v>8</v>
      </c>
    </row>
    <row r="4" spans="1:20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 s="9" t="s">
        <v>1454</v>
      </c>
      <c r="S4" s="9"/>
      <c r="T4" s="9">
        <f>COUNTBLANK(A2:P1409)</f>
        <v>1392</v>
      </c>
    </row>
    <row r="5" spans="1:20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 s="9" t="s">
        <v>1465</v>
      </c>
      <c r="S5" s="9"/>
      <c r="T5" s="9">
        <f>COUNTIF(C2:C1409,"Control")</f>
        <v>693</v>
      </c>
    </row>
    <row r="6" spans="1:20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 s="9" t="s">
        <v>1466</v>
      </c>
      <c r="S6" s="9"/>
      <c r="T6" s="9">
        <f>COUNTIF(C2:C1409,"Treatment")</f>
        <v>715</v>
      </c>
    </row>
    <row r="7" spans="1:20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 s="11" t="s">
        <v>1458</v>
      </c>
      <c r="S7" s="12" t="s">
        <v>7</v>
      </c>
      <c r="T7" s="9">
        <f>COUNTIFS(H2:H1409,"&lt;&gt;0",H2:H1409,"&lt;&gt;1")</f>
        <v>0</v>
      </c>
    </row>
    <row r="8" spans="1:20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 s="9"/>
      <c r="S8" s="12" t="s">
        <v>8</v>
      </c>
      <c r="T8" s="9">
        <f>COUNTIFS(I2:I1409,"&lt;&gt;0",I2:I1409,"&lt;&gt;1")</f>
        <v>0</v>
      </c>
    </row>
    <row r="9" spans="1:20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 s="9"/>
      <c r="S9" s="12" t="s">
        <v>9</v>
      </c>
      <c r="T9" s="9">
        <f>COUNTIFS(J2:J1409,"&lt;&gt;0",J2:J1409,"&lt;&gt;1")</f>
        <v>0</v>
      </c>
    </row>
    <row r="10" spans="1:20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R10" s="9"/>
      <c r="S10" s="12" t="s">
        <v>10</v>
      </c>
      <c r="T10" s="9">
        <f>COUNTIFS(K2:K1409,"&lt;&gt;0",K2:K1409,"&lt;&gt;1")</f>
        <v>0</v>
      </c>
    </row>
    <row r="11" spans="1:20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R11" s="9"/>
      <c r="S11" s="12" t="s">
        <v>13</v>
      </c>
      <c r="T11" s="9">
        <f>COUNTIFS(N2:N1409,"&lt;&gt;0",N2:N1409,"&lt;&gt;1")</f>
        <v>0</v>
      </c>
    </row>
    <row r="12" spans="1:20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R12" s="11" t="s">
        <v>1459</v>
      </c>
      <c r="S12" s="9"/>
      <c r="T12" s="9">
        <f>COUNTIF(L2:L1410,"&gt;"&amp;AVERAGE(L2:L1410)*3)</f>
        <v>72</v>
      </c>
    </row>
    <row r="13" spans="1:20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20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20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20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70C0-71A1-4DFB-B863-DC89FC075205}">
  <dimension ref="A1:B14"/>
  <sheetViews>
    <sheetView zoomScaleNormal="100" workbookViewId="0">
      <selection activeCell="A7" sqref="A7"/>
    </sheetView>
  </sheetViews>
  <sheetFormatPr defaultRowHeight="14"/>
  <cols>
    <col min="1" max="1" width="28" style="6" customWidth="1"/>
    <col min="2" max="2" width="40" style="6" customWidth="1"/>
    <col min="3" max="16384" width="8.6640625" style="6"/>
  </cols>
  <sheetData>
    <row r="1" spans="1:2">
      <c r="A1" s="17" t="s">
        <v>1433</v>
      </c>
      <c r="B1" s="17" t="s">
        <v>1434</v>
      </c>
    </row>
    <row r="2" spans="1:2" ht="42">
      <c r="A2" s="18" t="s">
        <v>1435</v>
      </c>
      <c r="B2" s="18" t="s">
        <v>1436</v>
      </c>
    </row>
    <row r="3" spans="1:2">
      <c r="A3" s="18" t="s">
        <v>17</v>
      </c>
      <c r="B3" s="18" t="s">
        <v>1437</v>
      </c>
    </row>
    <row r="4" spans="1:2">
      <c r="A4" s="18" t="s">
        <v>723</v>
      </c>
      <c r="B4" s="18" t="s">
        <v>1438</v>
      </c>
    </row>
    <row r="5" spans="1:2" ht="28">
      <c r="A5" s="18" t="s">
        <v>1439</v>
      </c>
      <c r="B5" s="18" t="s">
        <v>1440</v>
      </c>
    </row>
    <row r="6" spans="1:2" ht="28">
      <c r="A6" s="18" t="s">
        <v>7</v>
      </c>
      <c r="B6" s="18" t="s">
        <v>1441</v>
      </c>
    </row>
    <row r="7" spans="1:2">
      <c r="A7" s="18" t="s">
        <v>8</v>
      </c>
      <c r="B7" s="18" t="s">
        <v>1442</v>
      </c>
    </row>
    <row r="8" spans="1:2">
      <c r="A8" s="18" t="s">
        <v>9</v>
      </c>
      <c r="B8" s="18" t="s">
        <v>1443</v>
      </c>
    </row>
    <row r="9" spans="1:2" ht="28">
      <c r="A9" s="18" t="s">
        <v>10</v>
      </c>
      <c r="B9" s="18" t="s">
        <v>1444</v>
      </c>
    </row>
    <row r="10" spans="1:2">
      <c r="A10" s="18" t="s">
        <v>11</v>
      </c>
      <c r="B10" s="18" t="s">
        <v>1445</v>
      </c>
    </row>
    <row r="11" spans="1:2">
      <c r="A11" s="18" t="s">
        <v>12</v>
      </c>
      <c r="B11" s="18" t="s">
        <v>1446</v>
      </c>
    </row>
    <row r="12" spans="1:2">
      <c r="A12" s="18" t="s">
        <v>13</v>
      </c>
      <c r="B12" s="18" t="s">
        <v>1447</v>
      </c>
    </row>
    <row r="13" spans="1:2">
      <c r="A13" s="18" t="s">
        <v>15</v>
      </c>
      <c r="B13" s="18" t="s">
        <v>1448</v>
      </c>
    </row>
    <row r="14" spans="1:2" ht="42">
      <c r="A14" s="18" t="s">
        <v>1449</v>
      </c>
      <c r="B14" s="18" t="s">
        <v>1450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3" sqref="C13"/>
    </sheetView>
  </sheetViews>
  <sheetFormatPr defaultRowHeight="14"/>
  <cols>
    <col min="1" max="1" width="23.1640625" bestFit="1" customWidth="1"/>
    <col min="2" max="2" width="23.1640625" customWidth="1"/>
    <col min="3" max="3" width="39.08203125" bestFit="1" customWidth="1"/>
  </cols>
  <sheetData>
    <row r="1" spans="1:3">
      <c r="A1" s="7" t="s">
        <v>1451</v>
      </c>
      <c r="B1" s="7"/>
      <c r="C1" s="15" t="s">
        <v>1452</v>
      </c>
    </row>
    <row r="2" spans="1:3">
      <c r="A2" s="3" t="s">
        <v>1453</v>
      </c>
      <c r="B2" s="3"/>
      <c r="C2" s="13">
        <v>1408</v>
      </c>
    </row>
    <row r="3" spans="1:3">
      <c r="A3" s="3" t="s">
        <v>1454</v>
      </c>
      <c r="B3" s="3"/>
      <c r="C3" s="13">
        <v>1392</v>
      </c>
    </row>
    <row r="4" spans="1:3">
      <c r="A4" s="3" t="s">
        <v>1455</v>
      </c>
      <c r="B4" s="3"/>
      <c r="C4" s="13">
        <v>693</v>
      </c>
    </row>
    <row r="5" spans="1:3">
      <c r="A5" s="3" t="s">
        <v>1456</v>
      </c>
      <c r="B5" s="3"/>
      <c r="C5" s="13">
        <v>715</v>
      </c>
    </row>
    <row r="6" spans="1:3">
      <c r="A6" s="3" t="s">
        <v>1457</v>
      </c>
      <c r="B6" s="3"/>
      <c r="C6" s="13">
        <v>8</v>
      </c>
    </row>
    <row r="7" spans="1:3">
      <c r="A7" s="3" t="s">
        <v>1458</v>
      </c>
      <c r="B7" s="10" t="s">
        <v>7</v>
      </c>
      <c r="C7" s="13">
        <v>0</v>
      </c>
    </row>
    <row r="8" spans="1:3">
      <c r="A8" s="8"/>
      <c r="B8" s="10" t="s">
        <v>8</v>
      </c>
      <c r="C8" s="13">
        <v>0</v>
      </c>
    </row>
    <row r="9" spans="1:3">
      <c r="A9" s="8"/>
      <c r="B9" s="10" t="s">
        <v>9</v>
      </c>
      <c r="C9" s="13">
        <v>0</v>
      </c>
    </row>
    <row r="10" spans="1:3">
      <c r="A10" s="8"/>
      <c r="B10" s="10" t="s">
        <v>10</v>
      </c>
      <c r="C10" s="14">
        <v>0</v>
      </c>
    </row>
    <row r="11" spans="1:3">
      <c r="A11" s="8"/>
      <c r="B11" s="10" t="s">
        <v>13</v>
      </c>
      <c r="C11" s="14">
        <v>0</v>
      </c>
    </row>
    <row r="12" spans="1:3">
      <c r="A12" s="8"/>
      <c r="B12" s="10" t="s">
        <v>1468</v>
      </c>
      <c r="C12" s="14">
        <f>SUM(C7:C11)</f>
        <v>0</v>
      </c>
    </row>
    <row r="13" spans="1:3">
      <c r="A13" s="3" t="s">
        <v>1459</v>
      </c>
      <c r="B13" s="8"/>
      <c r="C13" s="14">
        <v>72</v>
      </c>
    </row>
    <row r="14" spans="1:3">
      <c r="A14" s="3" t="s">
        <v>1460</v>
      </c>
      <c r="B14" s="8"/>
      <c r="C14" s="14" t="s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062D-6792-4AF9-A0C9-372CB6A595ED}">
  <sheetPr filterMode="1"/>
  <dimension ref="A1:B5"/>
  <sheetViews>
    <sheetView workbookViewId="0">
      <selection activeCell="E8" sqref="E8"/>
    </sheetView>
  </sheetViews>
  <sheetFormatPr defaultRowHeight="14"/>
  <cols>
    <col min="1" max="1" width="12.9140625" bestFit="1" customWidth="1"/>
    <col min="2" max="2" width="14.9140625" bestFit="1" customWidth="1"/>
  </cols>
  <sheetData>
    <row r="1" spans="1:2">
      <c r="A1" s="4" t="s">
        <v>1461</v>
      </c>
      <c r="B1" t="s">
        <v>1464</v>
      </c>
    </row>
    <row r="2" spans="1:2">
      <c r="A2" s="5" t="s">
        <v>17</v>
      </c>
      <c r="B2">
        <v>693</v>
      </c>
    </row>
    <row r="3" spans="1:2">
      <c r="A3" s="5" t="s">
        <v>723</v>
      </c>
      <c r="B3">
        <v>715</v>
      </c>
    </row>
    <row r="4" spans="1:2" hidden="1">
      <c r="A4" s="5" t="s">
        <v>1462</v>
      </c>
    </row>
    <row r="5" spans="1:2">
      <c r="A5" s="5" t="s">
        <v>1463</v>
      </c>
      <c r="B5">
        <v>1408</v>
      </c>
    </row>
  </sheetData>
  <autoFilter ref="A1:B5" xr:uid="{E4CD062D-6792-4AF9-A0C9-372CB6A595ED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0007-A9CA-4F4F-8765-2DADB9F75EC8}">
  <dimension ref="A1:E5"/>
  <sheetViews>
    <sheetView workbookViewId="0">
      <selection activeCell="F12" sqref="F12"/>
    </sheetView>
  </sheetViews>
  <sheetFormatPr defaultRowHeight="14"/>
  <cols>
    <col min="1" max="1" width="14.9140625" bestFit="1" customWidth="1"/>
    <col min="2" max="2" width="15.58203125" bestFit="1" customWidth="1"/>
    <col min="3" max="3" width="4.5" bestFit="1" customWidth="1"/>
    <col min="4" max="4" width="8.33203125" bestFit="1" customWidth="1"/>
    <col min="5" max="5" width="10.83203125" bestFit="1" customWidth="1"/>
  </cols>
  <sheetData>
    <row r="1" spans="1:5">
      <c r="A1" s="4" t="s">
        <v>1464</v>
      </c>
      <c r="B1" s="4" t="s">
        <v>1469</v>
      </c>
    </row>
    <row r="2" spans="1:5">
      <c r="A2" s="4" t="s">
        <v>1461</v>
      </c>
      <c r="B2" t="s">
        <v>21</v>
      </c>
      <c r="C2" t="s">
        <v>26</v>
      </c>
      <c r="D2" t="s">
        <v>30</v>
      </c>
      <c r="E2" t="s">
        <v>1463</v>
      </c>
    </row>
    <row r="3" spans="1:5">
      <c r="A3" s="5" t="s">
        <v>17</v>
      </c>
      <c r="B3">
        <v>223</v>
      </c>
      <c r="C3">
        <v>361</v>
      </c>
      <c r="D3">
        <v>109</v>
      </c>
      <c r="E3">
        <v>693</v>
      </c>
    </row>
    <row r="4" spans="1:5">
      <c r="A4" s="5" t="s">
        <v>723</v>
      </c>
      <c r="B4">
        <v>235</v>
      </c>
      <c r="C4">
        <v>368</v>
      </c>
      <c r="D4">
        <v>112</v>
      </c>
      <c r="E4">
        <v>715</v>
      </c>
    </row>
    <row r="5" spans="1:5">
      <c r="A5" s="5" t="s">
        <v>1463</v>
      </c>
      <c r="B5">
        <v>458</v>
      </c>
      <c r="C5">
        <v>729</v>
      </c>
      <c r="D5">
        <v>221</v>
      </c>
      <c r="E5">
        <v>1408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66C2-16E9-41F2-B117-883F550A82B1}">
  <dimension ref="A1:G8"/>
  <sheetViews>
    <sheetView tabSelected="1" workbookViewId="0">
      <selection activeCell="A7" sqref="A7:G8"/>
    </sheetView>
  </sheetViews>
  <sheetFormatPr defaultRowHeight="14"/>
  <cols>
    <col min="1" max="1" width="30.25" bestFit="1" customWidth="1"/>
    <col min="2" max="2" width="39.4140625" bestFit="1" customWidth="1"/>
    <col min="7" max="7" width="32.1640625" customWidth="1"/>
  </cols>
  <sheetData>
    <row r="1" spans="1:7">
      <c r="A1" s="7" t="s">
        <v>1471</v>
      </c>
      <c r="B1" s="7" t="s">
        <v>1472</v>
      </c>
    </row>
    <row r="2" spans="1:7">
      <c r="A2" s="3" t="s">
        <v>1473</v>
      </c>
      <c r="B2" s="16" t="s">
        <v>1476</v>
      </c>
    </row>
    <row r="3" spans="1:7">
      <c r="A3" s="3" t="s">
        <v>1474</v>
      </c>
      <c r="B3" s="16" t="s">
        <v>1477</v>
      </c>
    </row>
    <row r="4" spans="1:7">
      <c r="A4" s="3" t="s">
        <v>1475</v>
      </c>
      <c r="B4" s="3">
        <v>72</v>
      </c>
    </row>
    <row r="7" spans="1:7">
      <c r="A7" s="20" t="s">
        <v>1478</v>
      </c>
      <c r="B7" s="21"/>
      <c r="C7" s="21"/>
      <c r="D7" s="21"/>
      <c r="E7" s="21"/>
      <c r="F7" s="21"/>
      <c r="G7" s="22"/>
    </row>
    <row r="8" spans="1:7">
      <c r="A8" s="19" t="s">
        <v>1479</v>
      </c>
      <c r="B8" s="19"/>
      <c r="C8" s="19"/>
      <c r="D8" s="19"/>
      <c r="E8" s="19"/>
      <c r="F8" s="19"/>
      <c r="G8" s="19"/>
    </row>
  </sheetData>
  <mergeCells count="2">
    <mergeCell ref="A8:G8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experiment_data</vt:lpstr>
      <vt:lpstr>business_context</vt:lpstr>
      <vt:lpstr>data_quality_checks</vt:lpstr>
      <vt:lpstr>group_counts</vt:lpstr>
      <vt:lpstr>segment_distribution</vt:lpstr>
      <vt:lpstr>revenue_outliers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Bankeraika</cp:lastModifiedBy>
  <dcterms:modified xsi:type="dcterms:W3CDTF">2026-06-25T11:02:43Z</dcterms:modified>
</cp:coreProperties>
</file>